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alll\Desktop\ירין עיצוב וביצוע\"/>
    </mc:Choice>
  </mc:AlternateContent>
  <xr:revisionPtr revIDLastSave="0" documentId="13_ncr:1_{4E2F29CC-109E-4D0D-AE6C-240CA1835B50}" xr6:coauthVersionLast="47" xr6:coauthVersionMax="47" xr10:uidLastSave="{00000000-0000-0000-0000-000000000000}"/>
  <bookViews>
    <workbookView xWindow="-110" yWindow="-110" windowWidth="19420" windowHeight="10300" xr2:uid="{B094FF53-B13C-4C0F-BAE2-4E3A3F9E46F6}"/>
  </bookViews>
  <sheets>
    <sheet name="גיליון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 l="1"/>
  <c r="H21" i="1"/>
  <c r="H19" i="1"/>
  <c r="H107" i="1"/>
  <c r="H106" i="1"/>
  <c r="H105" i="1"/>
  <c r="H104" i="1"/>
  <c r="H102" i="1"/>
  <c r="H101" i="1"/>
  <c r="H100" i="1"/>
  <c r="H99" i="1"/>
  <c r="H95" i="1"/>
  <c r="H96" i="1"/>
  <c r="H93" i="1"/>
  <c r="H94" i="1"/>
  <c r="H92" i="1"/>
  <c r="H91" i="1"/>
  <c r="H90" i="1"/>
  <c r="H89" i="1"/>
  <c r="H88" i="1"/>
  <c r="H87" i="1"/>
  <c r="H86" i="1"/>
  <c r="H85" i="1"/>
  <c r="H66" i="1"/>
  <c r="H65" i="1"/>
  <c r="H64" i="1"/>
  <c r="H58" i="1"/>
  <c r="H59" i="1"/>
  <c r="H60" i="1"/>
  <c r="H108" i="1"/>
  <c r="H63" i="1" l="1"/>
  <c r="H62" i="1"/>
  <c r="H61" i="1"/>
  <c r="H70" i="1" s="1"/>
  <c r="H43" i="1"/>
  <c r="H42" i="1"/>
  <c r="H20" i="1"/>
  <c r="H17" i="1"/>
  <c r="H16" i="1"/>
  <c r="H34" i="1"/>
  <c r="H23" i="1"/>
  <c r="F22" i="1"/>
  <c r="H119" i="1"/>
  <c r="H41" i="1"/>
  <c r="H109" i="1"/>
  <c r="H103" i="1"/>
  <c r="H98" i="1"/>
  <c r="H120" i="1"/>
  <c r="H117" i="1"/>
  <c r="H45" i="1"/>
  <c r="H38" i="1"/>
  <c r="H37" i="1"/>
  <c r="H149" i="1"/>
  <c r="H148" i="1"/>
  <c r="H97" i="1"/>
  <c r="H110" i="1" s="1"/>
  <c r="H121" i="1"/>
  <c r="H158" i="1"/>
  <c r="H160" i="1"/>
  <c r="H25" i="1" l="1"/>
  <c r="H46" i="1"/>
  <c r="H122" i="1"/>
  <c r="H161" i="1"/>
  <c r="H167" i="1" l="1"/>
  <c r="H168" i="1" s="1"/>
  <c r="H169" i="1" l="1"/>
  <c r="H170" i="1" s="1"/>
</calcChain>
</file>

<file path=xl/sharedStrings.xml><?xml version="1.0" encoding="utf-8"?>
<sst xmlns="http://schemas.openxmlformats.org/spreadsheetml/2006/main" count="239" uniqueCount="141">
  <si>
    <t xml:space="preserve">כתב כמויות - </t>
  </si>
  <si>
    <t>יח'</t>
  </si>
  <si>
    <t>כמות</t>
  </si>
  <si>
    <t>מחיר ליח'</t>
  </si>
  <si>
    <t xml:space="preserve">הערות </t>
  </si>
  <si>
    <t>סה"כ</t>
  </si>
  <si>
    <t>יח</t>
  </si>
  <si>
    <t>מ"ר</t>
  </si>
  <si>
    <t>עבודות בנייה</t>
  </si>
  <si>
    <t>הערות</t>
  </si>
  <si>
    <t>3</t>
  </si>
  <si>
    <t>עבודות אינסטלציה ואיטום</t>
  </si>
  <si>
    <t>03.01</t>
  </si>
  <si>
    <t>עבודות אינסטלציה</t>
  </si>
  <si>
    <t>סה"כ פרק 03 עבודות אינסטלציה:</t>
  </si>
  <si>
    <t>05</t>
  </si>
  <si>
    <t>עבודות חשמל</t>
  </si>
  <si>
    <t>06</t>
  </si>
  <si>
    <t>עבודות ריצוף וחיפוי</t>
  </si>
  <si>
    <t>06.01</t>
  </si>
  <si>
    <t>סה"כ פרק 06 עבודות ריצוף וחיפוי:</t>
  </si>
  <si>
    <t>07</t>
  </si>
  <si>
    <t>07.01</t>
  </si>
  <si>
    <t>סה"כ פרק 07 עבודות צביעה:</t>
  </si>
  <si>
    <t xml:space="preserve">שונות </t>
  </si>
  <si>
    <t>סה"כ פרק 11 שונות</t>
  </si>
  <si>
    <t>08</t>
  </si>
  <si>
    <t>08.01</t>
  </si>
  <si>
    <t xml:space="preserve">סהכ פרויקט </t>
  </si>
  <si>
    <t>מעמ</t>
  </si>
  <si>
    <t xml:space="preserve">פרויקט כולל מעמ </t>
  </si>
  <si>
    <t xml:space="preserve">תאריך הכנה </t>
  </si>
  <si>
    <t xml:space="preserve">ירין עיצוב וביצוע </t>
  </si>
  <si>
    <t>01</t>
  </si>
  <si>
    <t>01.01</t>
  </si>
  <si>
    <t>סה"כ פרק 01 עבודות בנייה:</t>
  </si>
  <si>
    <t xml:space="preserve">מכולות לפינוי פסולת לאתר מאושר </t>
  </si>
  <si>
    <t>סה"כ פרק 06 עבודות חשמלי:</t>
  </si>
  <si>
    <t>חודשים</t>
  </si>
  <si>
    <t xml:space="preserve">עבודות בנייה </t>
  </si>
  <si>
    <t xml:space="preserve">עבודות הריסה </t>
  </si>
  <si>
    <t>00</t>
  </si>
  <si>
    <t>00.01</t>
  </si>
  <si>
    <t>קומפלט</t>
  </si>
  <si>
    <t xml:space="preserve">קומפלט </t>
  </si>
  <si>
    <t>מ"א</t>
  </si>
  <si>
    <t xml:space="preserve">בניית סינרי גבס כולל קונסטרוקציה עד גמר מושלם </t>
  </si>
  <si>
    <t xml:space="preserve">ביצוע חיזוקים ע"י פלטות  בקירות עבור נגרויות חדרי רחצה </t>
  </si>
  <si>
    <t>יציקת חגורות כמעצורי מים, מבטון מזויינות בחתכים של עד 15 \ 20 ס"מ בהיקף חדרים
רטובים ובמפגשים בין פנים לשטח הציבורי, לרבות קידוח והחדרת קוצים לרצפת הבטון</t>
  </si>
  <si>
    <t>ביטוני צנרת ותשתיות של חשמל ואינסטלציה</t>
  </si>
  <si>
    <t>אספקה והתקנה של פתח שירות פרמיום גודל 60\60 מאופנארט</t>
  </si>
  <si>
    <t>ביצוע חיזוקים עבור מערכת מיזוג אוויר</t>
  </si>
  <si>
    <t>הערה: מחיר התקנת הכלים,הסוללות והברזים כולל את כל הצנרת והאביזרים הנדרשים מנקודת החיבור לבניין ועד לנקודות הקצה</t>
  </si>
  <si>
    <t xml:space="preserve">הערה: התקנת צנרת אינסטלציה מסוג SP ובהתאם למיקום עפ"י התכנית. </t>
  </si>
  <si>
    <t>הרכבת והתקנת מיכל הדחה סמוי כולל חיבור נק' מים ישנה למיכל ההדחה וחיבור הניקוז למערכת השופכין.</t>
  </si>
  <si>
    <t xml:space="preserve">ביטול נקודות מים ישנות </t>
  </si>
  <si>
    <t xml:space="preserve">בניית הנמכת בגבהים משתנים 15 ס"מ\40 ס"מ\ כולל קונסט' תקנית,גובה לפי תוכנית\ גובה משתנה .כולל צמר סלעים  גובה סופי יקבע ע"פ יועץ מיזוג אוויר בניית הנמכת גבס ירוק - עבור חללים רטובים כולל קונסט' תקנית, גובה משתנה ס"מ. כולל יריעות בידוד טרמי ואקוסטי. גובה סופי יקבע
</t>
  </si>
  <si>
    <t xml:space="preserve">תוספת עבור גרונג </t>
  </si>
  <si>
    <t>עבודות שפכטל צבע</t>
  </si>
  <si>
    <t xml:space="preserve">עבודות שפכטל צבע </t>
  </si>
  <si>
    <t xml:space="preserve">הערה: כל הצביעה תבוצע בשלוש שכבות לפחות ועד לקבלת כיסוי מלא וגוון אחיד. העבודה כוללת ביצוע הכנות ותיקוני שפכטל ככל שידרש, שפשוף צבע קיים לפי הצורך ופריימרים כנדרש. </t>
  </si>
  <si>
    <t xml:space="preserve">ביצוע הכנת תשתית נקייה עבור עבודות שפכטל כולל טיפול בחיבורים ובפינות </t>
  </si>
  <si>
    <t>ביצוע התקנת פינות אפס וחצי במקומות עיקריים כגון - נישות תקרה צפה\מדרגות תקרה\פתחי מיזוג אוויר\ פגישה בין קיר גבס לאלמנטים אחרים</t>
  </si>
  <si>
    <t>ביצוע של שלוש שכבות שפכטל אמריקאי חלקי ( 2 ידיים) על כל שטח הקירות והתקרות עד לקבלת פני שטח חלקים לחלוטין ללא גלים או נקבים. כולל  הדסקת רשת פיברגלס גדולה בכל הקירות והתקרות כולל ליטוש ושיוף ידני לאחר ייבוש מלא עד לקבלת מראה קטיפתי כולל התזת פריימר</t>
  </si>
  <si>
    <t xml:space="preserve">ביצוע עיטווף של גופי תאורה דקורטיים כולל רצפה כולל אביזרי חשמל דלתות\משקופים. </t>
  </si>
  <si>
    <t xml:space="preserve">צביעת כל חלל הדירה קירות ותקרות מסוג נירלנט בגוון לבחירת אדריכל </t>
  </si>
  <si>
    <t xml:space="preserve">מריחת שפכטל אמריקאי 3 שכבות כולל רשת פיבא עד גמר מושלם </t>
  </si>
  <si>
    <t>הקבלן הראשי יישא באחריות מלאה ובלעדית לניהולו התקין של אתר העבודה, לרבות החזקת פוליסת ביטוח קבלנים רחבה בתוקף ומינוי מנהל עבודה מוסמך שיהיה נוכח באתר באופן קבוע ויהווה איש קשר ישיר מול המעצבת והלקוח. הקבלן אחראי על תיאום מלא, לוגיסטי וביצועי בין כל קבלני המשנה (חשמל, אינסטלציה, מיזוג, נגרות וכד') ובין הספקים החיצוניים, כולל קבלת סחורות, בדיקת תקינותן והגנה עליהן באתר. במסגרת זו, מחויב הקבלן להגשת דו"ח התקדמות שבועי המפרט את הסטטוס מול לוחות הזמנים המקוריים, ניהול יומן עבודה מסודר, ושמירה קפדנית על סדר וארגון האתר. הקבלן מתחייב לביצוע ניקיון יומיומי יסודי בדירה ובשטחים המשותפים של הבניין (חדר מדרגות, מעלית ומדרכה) ופינוי פסולת שוטף לאתר מורשה בלבד, תוך הקפדה על כללי הבטיחות ושמירה על רכוש קיים.</t>
  </si>
  <si>
    <t>התקנת ספוטים שקועים /גופי תאורה פשוטים</t>
  </si>
  <si>
    <t>במידת הצורך!</t>
  </si>
  <si>
    <t>עבודות איטום</t>
  </si>
  <si>
    <t xml:space="preserve">איטום רצפות חדרים רטובים כולל רולקות כולל 3 שכבות איטום כולל בדיקת הצפה של 72 שעות </t>
  </si>
  <si>
    <t xml:space="preserve">איטום קירות חדרים רטובים כולל סרט בוטילי עד גמר מושלם </t>
  </si>
  <si>
    <t>סה"כ פרק 06 עבודות איטום:</t>
  </si>
  <si>
    <t>ביצוע פירוק והריסה של דלתות פנים כולל משקוף ופינוי הפסולת לאתר מאושר</t>
  </si>
  <si>
    <t xml:space="preserve">ביצוע נישות בחדרי רחצה עד גמר מושלם </t>
  </si>
  <si>
    <t xml:space="preserve">ביצוע התאמות של מרכזיית מיים קיימת לפי הצורך בדירה </t>
  </si>
  <si>
    <t>נק מיים חמים קרים כולל ניקוז עד גמר מושלם</t>
  </si>
  <si>
    <t>מא</t>
  </si>
  <si>
    <t xml:space="preserve">כולל נישות </t>
  </si>
  <si>
    <t>ביצוע הכנה עבור קליטת מטבח חדש כולל חיזוקים בקיר עבור נגרות עד גמר מושלם</t>
  </si>
  <si>
    <t xml:space="preserve">פירוק והריסה של שירותי אורחים כולל מיכל הדחה כולל כלים סניטריים כולל רצפה כולל חול כולל חיפוי ופינוי לאתר מאושר </t>
  </si>
  <si>
    <t xml:space="preserve">פירוק והריסה של חדר רחצה כולל כלים סניטריים כולל חול כולל נגרות כולל חיפויים כולל רצפה כולל מקלחון  כולל אבטיה כולל פינוי הפסולת לאתר מאושר </t>
  </si>
  <si>
    <t>פירוק והריסה של סינרי גבס כולל פינוי הפסולת לאתר מאושר</t>
  </si>
  <si>
    <t>איטום וביטון מיכלי הדחה עבור אסלה במויה</t>
  </si>
  <si>
    <t xml:space="preserve">יח </t>
  </si>
  <si>
    <t xml:space="preserve">נק גז כולל קידוחים </t>
  </si>
  <si>
    <t>נק' מאור רגילה</t>
  </si>
  <si>
    <t>שקע יחיד</t>
  </si>
  <si>
    <t>שקע כפול</t>
  </si>
  <si>
    <t>תוספת לקו אפס לנק' הדלקה( הכנה לחכם)</t>
  </si>
  <si>
    <t>שקע כח</t>
  </si>
  <si>
    <t>שקע כפול ישיר</t>
  </si>
  <si>
    <t>תוספת למ"מ ניסקו</t>
  </si>
  <si>
    <t xml:space="preserve">התקנת מאוורר תיקרה </t>
  </si>
  <si>
    <t>קוומפלט</t>
  </si>
  <si>
    <t xml:space="preserve">פירוק והריסה של קירות גבס\בלוק כולל פינוי הפסולת לאתר מאושר </t>
  </si>
  <si>
    <t>כמות לפי יועץ מיזוג אוויר - סופית</t>
  </si>
  <si>
    <t>תומר וענבל  הסבוראים 5 תל אביב</t>
  </si>
  <si>
    <t>12.8.26</t>
  </si>
  <si>
    <t xml:space="preserve">פירוק והריסה של מטבח הכולל חיפוים הכולל נגרות כולל משטח שיש כולל סנטריה ופינוי הפסולת לאתר מאושר </t>
  </si>
  <si>
    <t xml:space="preserve">פירוק גרילי מיזוג אוויר כולל פינוי הפסולת לאתר מאושר </t>
  </si>
  <si>
    <t xml:space="preserve">פירוק והריסה של תקרת גבס כולל קונסטרוקציה  ופינוי הפסולת לאתר מאושר </t>
  </si>
  <si>
    <t>לא ניתן לפרק לוחות גבס ללא קונסטרוקציה - או לנסות לשמור על קונסטרוקציה חזקה ויציבה לקליטת תקרת גבס חדשה!1</t>
  </si>
  <si>
    <t xml:space="preserve">בניית ציפוי גבס כולל קונסטרוקציה עד גמר מושלם </t>
  </si>
  <si>
    <t xml:space="preserve">בניית קירות בלוקים  כולל קונסטרוקציה עד גמר מושלם </t>
  </si>
  <si>
    <t xml:space="preserve">ביצוע חיתוכים עבור גרילי מיזוג אוויר לפי צורך </t>
  </si>
  <si>
    <t>אספקה והתקנה קולטן מי גשם דלמר 4\3</t>
  </si>
  <si>
    <t xml:space="preserve">אספקה והתקנה צינור ניקוז 4 צול אולטרה בטון </t>
  </si>
  <si>
    <t>אספקה והתקנה קופסאת ביקורת ניקוז</t>
  </si>
  <si>
    <t xml:space="preserve">נק מים חמים קרים עבור מכונת הכביסה </t>
  </si>
  <si>
    <t>הרכבה והתקנה של אינטרפוץ 3 דרך כולל צינורות גמישות עד גמר מושלם כולל נק מיים חמים\קרים</t>
  </si>
  <si>
    <t>נק מיים כולל ניקוז עבור שואב אבק עד גמר מושלם</t>
  </si>
  <si>
    <t xml:space="preserve">אופציה </t>
  </si>
  <si>
    <t>שקע תלת פאזי 3X16A</t>
  </si>
  <si>
    <t>נק' רשת (לא כולל אביזר קצה ) השחלה בלבד</t>
  </si>
  <si>
    <t>תריס/וילון חשמלי</t>
  </si>
  <si>
    <t>ריכוז אודיו וידיאו ותקשורת  כולל שקע חשמל</t>
  </si>
  <si>
    <t>התקנת פרופילים או לד נסתר ארוכים לפי מ'</t>
  </si>
  <si>
    <t>לוח חשמל עד 36 מקום עד לגודל 3X40A</t>
  </si>
  <si>
    <t>רמקולים/מצלמה הכנה צינור + חוט משיכה</t>
  </si>
  <si>
    <t>נק' הדלקה יחיד/מחליף/צלב</t>
  </si>
  <si>
    <t>נק' לוונטה /תנור חימום</t>
  </si>
  <si>
    <t xml:space="preserve">התקנת גופי תאורה גינה </t>
  </si>
  <si>
    <t>שקע שלישיה</t>
  </si>
  <si>
    <t xml:space="preserve">עמדת עבודה D-17 </t>
  </si>
  <si>
    <t>צינור קוברה 50</t>
  </si>
  <si>
    <t>התקנת גופי תאורה ריצפתיים</t>
  </si>
  <si>
    <t>פעמון דלת</t>
  </si>
  <si>
    <t>לחצן מדרגות</t>
  </si>
  <si>
    <t xml:space="preserve">אספקה של חול עבור חדר רחצה </t>
  </si>
  <si>
    <t>ביצוע ריצוף בחלל הדירה  בגודל אריח 100\100 כולל רובה לבחירת מעצבת עד גמר מושלם</t>
  </si>
  <si>
    <t xml:space="preserve">מסדרון </t>
  </si>
  <si>
    <t xml:space="preserve"> ניקוז למזגנים בהתאמה לתכנית המיזוג כולל התחברות למערת הניקוז של הבניין כולל משאבות עפ"י הצורך</t>
  </si>
  <si>
    <t xml:space="preserve">הורסים חדר רחצה 1 לכן ניתן לבצע נקודות בחדר רחצה היחיד ולא בנוסף כמו  שמצויין בתוכנית </t>
  </si>
  <si>
    <t>חדר רחצה 1!!!</t>
  </si>
  <si>
    <t xml:space="preserve">ביצוע התקנת חיפוי אריח גודל 1.20\60 כולל רובה בגוות לבחינת מעצת עד גמר מושלם </t>
  </si>
  <si>
    <t xml:space="preserve">מחיר לאחר הנחה משמעותית לחבר קרוב </t>
  </si>
  <si>
    <t xml:space="preserve">ביצוע התקנת ריצוף אריח  גודל 60\1.20 כולל רובה בגוות לבחינת מעצת עד גמר מושלם </t>
  </si>
  <si>
    <t>פירוק פנאלים ופינוי לאתר מאושר</t>
  </si>
  <si>
    <t>כלול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</si>
</sst>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
    <numFmt numFmtId="165" formatCode="&quot;₪&quot;\ #,##0.00"/>
    <numFmt numFmtId="166" formatCode="_ [$₪-40D]\ * #,##0_ ;_ [$₪-40D]\ * \-#,##0_ ;_ [$₪-40D]\ * &quot;-&quot;??_ ;_ @_ "/>
  </numFmts>
  <fonts count="15" x14ac:knownFonts="1">
    <font>
      <sz val="11"/>
      <color theme="1"/>
      <name val="Arial"/>
      <family val="2"/>
      <charset val="177"/>
      <scheme val="minor"/>
    </font>
    <font>
      <sz val="11"/>
      <color theme="1"/>
      <name val="Arial"/>
      <family val="2"/>
      <charset val="177"/>
      <scheme val="minor"/>
    </font>
    <font>
      <b/>
      <sz val="10"/>
      <name val="Tahoma"/>
      <family val="2"/>
    </font>
    <font>
      <b/>
      <sz val="12"/>
      <name val="Tahoma"/>
      <family val="2"/>
    </font>
    <font>
      <sz val="10"/>
      <name val="Tahoma"/>
      <family val="2"/>
    </font>
    <font>
      <b/>
      <sz val="14"/>
      <name val="Tahoma"/>
      <family val="2"/>
    </font>
    <font>
      <b/>
      <sz val="16"/>
      <name val="Tahoma"/>
      <family val="2"/>
    </font>
    <font>
      <sz val="11"/>
      <color theme="1"/>
      <name val="Calibri"/>
    </font>
    <font>
      <sz val="11"/>
      <color theme="1"/>
      <name val="Calibri"/>
      <family val="2"/>
    </font>
    <font>
      <sz val="10"/>
      <color theme="1"/>
      <name val="Arial"/>
    </font>
    <font>
      <b/>
      <sz val="11"/>
      <color theme="1"/>
      <name val="Arial"/>
      <family val="2"/>
      <scheme val="minor"/>
    </font>
    <font>
      <sz val="8"/>
      <name val="Arial"/>
      <family val="2"/>
      <charset val="177"/>
      <scheme val="minor"/>
    </font>
    <font>
      <sz val="10"/>
      <name val="Tahoma"/>
      <family val="2"/>
      <charset val="177"/>
    </font>
    <font>
      <sz val="11"/>
      <color theme="3" tint="-0.499984740745262"/>
      <name val="Arial"/>
      <family val="2"/>
      <scheme val="minor"/>
    </font>
    <font>
      <b/>
      <sz val="11"/>
      <color theme="3" tint="-0.499984740745262"/>
      <name val="Arial"/>
      <family val="2"/>
      <charset val="177"/>
      <scheme val="minor"/>
    </font>
  </fonts>
  <fills count="6">
    <fill>
      <patternFill patternType="none"/>
    </fill>
    <fill>
      <patternFill patternType="gray125"/>
    </fill>
    <fill>
      <patternFill patternType="solid">
        <fgColor theme="7" tint="0.59999389629810485"/>
        <bgColor indexed="65"/>
      </patternFill>
    </fill>
    <fill>
      <patternFill patternType="solid">
        <fgColor indexed="22"/>
        <bgColor indexed="64"/>
      </patternFill>
    </fill>
    <fill>
      <patternFill patternType="solid">
        <fgColor indexed="41"/>
        <bgColor indexed="64"/>
      </patternFill>
    </fill>
    <fill>
      <patternFill patternType="solid">
        <fgColor rgb="FFCCFFFF"/>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bottom/>
      <diagonal/>
    </border>
    <border>
      <left style="medium">
        <color indexed="64"/>
      </left>
      <right style="thin">
        <color indexed="64"/>
      </right>
      <top style="thin">
        <color rgb="FF000000"/>
      </top>
      <bottom style="medium">
        <color indexed="64"/>
      </bottom>
      <diagonal/>
    </border>
  </borders>
  <cellStyleXfs count="2">
    <xf numFmtId="0" fontId="0" fillId="0" borderId="0"/>
    <xf numFmtId="0" fontId="1" fillId="2" borderId="0" applyNumberFormat="0" applyBorder="0" applyAlignment="0" applyProtection="0"/>
  </cellStyleXfs>
  <cellXfs count="194">
    <xf numFmtId="0" fontId="0" fillId="0" borderId="0" xfId="0"/>
    <xf numFmtId="0" fontId="3" fillId="3" borderId="2" xfId="0" applyFont="1" applyFill="1" applyBorder="1" applyAlignment="1">
      <alignment horizontal="center" vertical="center" wrapText="1"/>
    </xf>
    <xf numFmtId="0" fontId="2" fillId="3" borderId="2" xfId="0" applyFont="1" applyFill="1" applyBorder="1" applyAlignment="1">
      <alignment vertical="center" wrapText="1"/>
    </xf>
    <xf numFmtId="164" fontId="2" fillId="3" borderId="2" xfId="0" applyNumberFormat="1" applyFont="1" applyFill="1" applyBorder="1" applyAlignment="1">
      <alignment vertical="center" wrapText="1"/>
    </xf>
    <xf numFmtId="49" fontId="4" fillId="0" borderId="3" xfId="0" applyNumberFormat="1" applyFont="1" applyBorder="1" applyAlignment="1">
      <alignment horizontal="center" vertical="center"/>
    </xf>
    <xf numFmtId="0" fontId="4" fillId="0" borderId="4" xfId="0" applyFont="1" applyBorder="1" applyAlignment="1">
      <alignment vertical="center" wrapText="1"/>
    </xf>
    <xf numFmtId="0" fontId="4" fillId="0" borderId="4" xfId="0" applyFont="1" applyBorder="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xf>
    <xf numFmtId="164" fontId="4" fillId="0" borderId="0" xfId="0" applyNumberFormat="1" applyFont="1"/>
    <xf numFmtId="0" fontId="4" fillId="0" borderId="9" xfId="0" applyFont="1" applyBorder="1" applyAlignment="1">
      <alignment horizontal="center" vertical="center"/>
    </xf>
    <xf numFmtId="49" fontId="2" fillId="4"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0" fontId="2" fillId="0" borderId="3" xfId="0" applyFont="1" applyBorder="1" applyAlignment="1">
      <alignment vertical="center"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164" fontId="2" fillId="0" borderId="13" xfId="0" applyNumberFormat="1" applyFont="1" applyBorder="1"/>
    <xf numFmtId="49" fontId="4" fillId="0" borderId="10" xfId="0" applyNumberFormat="1" applyFont="1" applyBorder="1" applyAlignment="1">
      <alignment horizontal="center" vertical="center"/>
    </xf>
    <xf numFmtId="0" fontId="4" fillId="0" borderId="14" xfId="0" applyFont="1" applyBorder="1" applyAlignment="1">
      <alignment vertical="center" wrapText="1"/>
    </xf>
    <xf numFmtId="0" fontId="4" fillId="0" borderId="15" xfId="0" applyFont="1" applyBorder="1" applyAlignment="1">
      <alignment horizontal="center" vertical="center"/>
    </xf>
    <xf numFmtId="0" fontId="4" fillId="0" borderId="17" xfId="0" applyFont="1" applyBorder="1" applyAlignment="1">
      <alignment horizontal="center" vertical="center"/>
    </xf>
    <xf numFmtId="164" fontId="4" fillId="0" borderId="18" xfId="0" applyNumberFormat="1" applyFont="1" applyBorder="1" applyAlignment="1">
      <alignment horizontal="center" vertical="center"/>
    </xf>
    <xf numFmtId="0" fontId="4" fillId="0" borderId="19" xfId="0" applyFont="1" applyBorder="1" applyAlignment="1">
      <alignment horizontal="center" vertical="center"/>
    </xf>
    <xf numFmtId="164" fontId="4" fillId="0" borderId="20" xfId="0" applyNumberFormat="1" applyFont="1" applyBorder="1" applyAlignment="1">
      <alignment horizontal="center" vertical="center"/>
    </xf>
    <xf numFmtId="164" fontId="4" fillId="0" borderId="22" xfId="0" applyNumberFormat="1"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49" fontId="4" fillId="0" borderId="1" xfId="0" applyNumberFormat="1" applyFont="1" applyBorder="1" applyAlignment="1">
      <alignment horizontal="center" vertical="center"/>
    </xf>
    <xf numFmtId="164" fontId="2" fillId="3" borderId="1" xfId="0" applyNumberFormat="1" applyFont="1" applyFill="1" applyBorder="1" applyAlignment="1">
      <alignment horizontal="center" vertical="center"/>
    </xf>
    <xf numFmtId="0" fontId="2" fillId="0" borderId="7" xfId="0" applyFont="1" applyBorder="1" applyAlignment="1">
      <alignment vertical="center" wrapText="1"/>
    </xf>
    <xf numFmtId="0" fontId="2" fillId="0" borderId="6" xfId="0" applyFont="1" applyBorder="1" applyAlignment="1">
      <alignment horizontal="center" vertical="center"/>
    </xf>
    <xf numFmtId="0" fontId="2" fillId="0" borderId="26" xfId="0" applyFont="1" applyBorder="1" applyAlignment="1">
      <alignment horizontal="center" vertical="center"/>
    </xf>
    <xf numFmtId="164" fontId="2" fillId="0" borderId="26" xfId="0" applyNumberFormat="1" applyFont="1" applyBorder="1"/>
    <xf numFmtId="49" fontId="4" fillId="0" borderId="14" xfId="0" applyNumberFormat="1" applyFont="1" applyBorder="1" applyAlignment="1">
      <alignment horizontal="center" vertical="center"/>
    </xf>
    <xf numFmtId="0" fontId="4" fillId="0" borderId="27" xfId="0" applyFont="1" applyBorder="1" applyAlignment="1">
      <alignment vertical="center" wrapText="1"/>
    </xf>
    <xf numFmtId="0" fontId="4" fillId="0" borderId="28" xfId="0" applyFont="1" applyBorder="1" applyAlignment="1">
      <alignment horizontal="center" vertical="center"/>
    </xf>
    <xf numFmtId="0" fontId="4" fillId="0" borderId="29" xfId="0" applyFont="1" applyBorder="1" applyAlignment="1">
      <alignment horizontal="center" vertical="center"/>
    </xf>
    <xf numFmtId="164" fontId="4" fillId="0" borderId="30" xfId="0" applyNumberFormat="1" applyFont="1" applyBorder="1"/>
    <xf numFmtId="0" fontId="4" fillId="0" borderId="31" xfId="0" applyFont="1" applyBorder="1" applyAlignment="1">
      <alignment horizontal="center" vertical="center"/>
    </xf>
    <xf numFmtId="164" fontId="4" fillId="0" borderId="18" xfId="0" applyNumberFormat="1" applyFont="1" applyBorder="1" applyAlignment="1">
      <alignment horizontal="center"/>
    </xf>
    <xf numFmtId="0" fontId="4" fillId="0" borderId="22" xfId="0" applyFont="1" applyBorder="1" applyAlignment="1">
      <alignment horizontal="center" vertical="center"/>
    </xf>
    <xf numFmtId="164" fontId="2" fillId="3" borderId="10" xfId="0" applyNumberFormat="1" applyFont="1" applyFill="1" applyBorder="1" applyAlignment="1">
      <alignment horizontal="center"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164" fontId="2" fillId="0" borderId="36" xfId="0" applyNumberFormat="1" applyFont="1" applyBorder="1"/>
    <xf numFmtId="49" fontId="2" fillId="4" borderId="26" xfId="0" applyNumberFormat="1" applyFont="1" applyFill="1" applyBorder="1" applyAlignment="1">
      <alignment horizontal="center" vertical="center"/>
    </xf>
    <xf numFmtId="164" fontId="4" fillId="0" borderId="17" xfId="0" applyNumberFormat="1" applyFont="1" applyBorder="1" applyAlignment="1">
      <alignment horizontal="center" vertical="center"/>
    </xf>
    <xf numFmtId="49" fontId="2" fillId="0" borderId="26" xfId="0" applyNumberFormat="1" applyFont="1" applyBorder="1" applyAlignment="1">
      <alignment horizontal="center" vertical="center"/>
    </xf>
    <xf numFmtId="164" fontId="2" fillId="0" borderId="43" xfId="0" applyNumberFormat="1" applyFont="1" applyBorder="1"/>
    <xf numFmtId="49" fontId="4" fillId="0" borderId="41" xfId="0" applyNumberFormat="1" applyFont="1" applyBorder="1" applyAlignment="1">
      <alignment horizontal="center" vertical="center"/>
    </xf>
    <xf numFmtId="0" fontId="4" fillId="0" borderId="23" xfId="0" applyFont="1" applyBorder="1" applyAlignment="1">
      <alignment horizontal="right" vertical="center" wrapText="1" readingOrder="1"/>
    </xf>
    <xf numFmtId="164" fontId="4" fillId="0" borderId="33" xfId="0" applyNumberFormat="1" applyFont="1" applyBorder="1"/>
    <xf numFmtId="164" fontId="4" fillId="0" borderId="32" xfId="0" applyNumberFormat="1" applyFont="1" applyBorder="1" applyAlignment="1">
      <alignment horizontal="center" vertical="center"/>
    </xf>
    <xf numFmtId="0" fontId="4" fillId="0" borderId="11" xfId="0" applyFont="1" applyBorder="1" applyAlignment="1">
      <alignment horizontal="center" vertical="center" wrapText="1" readingOrder="2"/>
    </xf>
    <xf numFmtId="0" fontId="4" fillId="0" borderId="12" xfId="0" applyFont="1" applyBorder="1" applyAlignment="1">
      <alignment horizontal="right" vertical="center" wrapText="1" readingOrder="2"/>
    </xf>
    <xf numFmtId="0" fontId="4" fillId="0" borderId="12" xfId="0" applyFont="1" applyBorder="1" applyAlignment="1">
      <alignment horizontal="center" vertical="center" wrapText="1" readingOrder="2"/>
    </xf>
    <xf numFmtId="164" fontId="4" fillId="0" borderId="12" xfId="0" applyNumberFormat="1" applyFont="1" applyBorder="1"/>
    <xf numFmtId="164" fontId="2" fillId="0" borderId="45" xfId="0" applyNumberFormat="1" applyFont="1" applyBorder="1" applyAlignment="1">
      <alignment horizontal="center" vertical="center"/>
    </xf>
    <xf numFmtId="49" fontId="2" fillId="0" borderId="6" xfId="0" applyNumberFormat="1" applyFont="1" applyBorder="1" applyAlignment="1">
      <alignment horizontal="center" vertical="center"/>
    </xf>
    <xf numFmtId="0" fontId="2" fillId="3" borderId="1" xfId="0" applyFont="1" applyFill="1" applyBorder="1" applyAlignment="1">
      <alignment horizontal="center" vertical="center" wrapText="1"/>
    </xf>
    <xf numFmtId="164" fontId="4" fillId="0" borderId="16" xfId="0" applyNumberFormat="1" applyFont="1" applyBorder="1"/>
    <xf numFmtId="0" fontId="2" fillId="0" borderId="46" xfId="0" applyFont="1" applyBorder="1" applyAlignment="1">
      <alignment horizontal="center" vertical="center"/>
    </xf>
    <xf numFmtId="0" fontId="2" fillId="0" borderId="0" xfId="0" applyFont="1" applyAlignment="1">
      <alignment horizontal="left" wrapText="1"/>
    </xf>
    <xf numFmtId="164" fontId="0" fillId="0" borderId="0" xfId="0" applyNumberFormat="1"/>
    <xf numFmtId="0" fontId="4" fillId="0" borderId="17" xfId="0" applyFont="1" applyBorder="1" applyAlignment="1">
      <alignment horizontal="center" vertical="center" wrapText="1"/>
    </xf>
    <xf numFmtId="14" fontId="2" fillId="3" borderId="2" xfId="0" applyNumberFormat="1" applyFont="1" applyFill="1" applyBorder="1" applyAlignment="1">
      <alignment horizontal="center" vertical="center" wrapText="1"/>
    </xf>
    <xf numFmtId="0" fontId="2" fillId="0" borderId="47" xfId="0" applyFont="1" applyBorder="1" applyAlignment="1">
      <alignment horizontal="center" vertical="center"/>
    </xf>
    <xf numFmtId="0" fontId="2" fillId="0" borderId="48" xfId="0" applyFont="1" applyBorder="1" applyAlignment="1">
      <alignment horizontal="center" vertical="center"/>
    </xf>
    <xf numFmtId="164" fontId="2" fillId="0" borderId="49" xfId="0" applyNumberFormat="1" applyFont="1" applyBorder="1"/>
    <xf numFmtId="49" fontId="2" fillId="0" borderId="41" xfId="0" applyNumberFormat="1" applyFont="1" applyBorder="1" applyAlignment="1">
      <alignment horizontal="center" vertical="center"/>
    </xf>
    <xf numFmtId="0" fontId="2" fillId="0" borderId="0" xfId="0" applyFont="1" applyAlignment="1">
      <alignment vertical="center" wrapText="1"/>
    </xf>
    <xf numFmtId="49" fontId="2" fillId="5" borderId="26" xfId="0" applyNumberFormat="1" applyFont="1" applyFill="1" applyBorder="1" applyAlignment="1">
      <alignment horizontal="center" vertical="center"/>
    </xf>
    <xf numFmtId="0" fontId="2" fillId="5" borderId="6" xfId="0" applyFont="1" applyFill="1" applyBorder="1" applyAlignment="1">
      <alignment vertical="center" wrapText="1"/>
    </xf>
    <xf numFmtId="0" fontId="4" fillId="5" borderId="7" xfId="0" applyFont="1" applyFill="1" applyBorder="1" applyAlignment="1">
      <alignment vertical="center"/>
    </xf>
    <xf numFmtId="164" fontId="4" fillId="5" borderId="7" xfId="0" applyNumberFormat="1" applyFont="1" applyFill="1" applyBorder="1" applyAlignment="1">
      <alignment vertical="center"/>
    </xf>
    <xf numFmtId="0" fontId="0" fillId="0" borderId="9" xfId="0" applyBorder="1"/>
    <xf numFmtId="0" fontId="2" fillId="0" borderId="9" xfId="0" applyFont="1" applyBorder="1" applyAlignment="1">
      <alignment vertical="center" wrapText="1"/>
    </xf>
    <xf numFmtId="0" fontId="2" fillId="0" borderId="9" xfId="0" applyFont="1" applyBorder="1" applyAlignment="1">
      <alignment horizontal="center" vertical="center"/>
    </xf>
    <xf numFmtId="164" fontId="2" fillId="0" borderId="9" xfId="0" applyNumberFormat="1" applyFont="1" applyBorder="1"/>
    <xf numFmtId="0" fontId="0" fillId="0" borderId="0" xfId="0" applyAlignment="1">
      <alignment horizontal="center"/>
    </xf>
    <xf numFmtId="0" fontId="2" fillId="3" borderId="2" xfId="0" applyFont="1" applyFill="1" applyBorder="1" applyAlignment="1">
      <alignment horizontal="center" vertical="center" wrapText="1"/>
    </xf>
    <xf numFmtId="0" fontId="4" fillId="0" borderId="0" xfId="0" applyFont="1" applyAlignment="1">
      <alignment horizontal="center"/>
    </xf>
    <xf numFmtId="0" fontId="2" fillId="0" borderId="8" xfId="0" applyFont="1" applyBorder="1" applyAlignment="1">
      <alignment horizontal="center"/>
    </xf>
    <xf numFmtId="0" fontId="2" fillId="0" borderId="1" xfId="0" applyFont="1" applyBorder="1" applyAlignment="1">
      <alignment horizontal="center"/>
    </xf>
    <xf numFmtId="0" fontId="2" fillId="0" borderId="26" xfId="0" applyFont="1" applyBorder="1" applyAlignment="1">
      <alignment horizontal="center"/>
    </xf>
    <xf numFmtId="0" fontId="4" fillId="0" borderId="27" xfId="0" applyFont="1" applyBorder="1" applyAlignment="1">
      <alignment horizontal="center"/>
    </xf>
    <xf numFmtId="0" fontId="4" fillId="0" borderId="22" xfId="0" applyFont="1" applyBorder="1" applyAlignment="1">
      <alignment horizontal="center"/>
    </xf>
    <xf numFmtId="0" fontId="4" fillId="5" borderId="7" xfId="0" applyFont="1" applyFill="1" applyBorder="1" applyAlignment="1">
      <alignment horizontal="center" vertical="center"/>
    </xf>
    <xf numFmtId="0" fontId="2" fillId="0" borderId="9" xfId="0" applyFont="1" applyBorder="1" applyAlignment="1">
      <alignment horizontal="center"/>
    </xf>
    <xf numFmtId="0" fontId="2" fillId="0" borderId="7" xfId="0" applyFont="1" applyBorder="1" applyAlignment="1">
      <alignment horizontal="center"/>
    </xf>
    <xf numFmtId="0" fontId="4" fillId="0" borderId="50" xfId="0" applyFont="1" applyBorder="1" applyAlignment="1">
      <alignment horizontal="center"/>
    </xf>
    <xf numFmtId="0" fontId="2" fillId="0" borderId="0" xfId="0" applyFont="1" applyAlignment="1">
      <alignment horizontal="center" wrapText="1"/>
    </xf>
    <xf numFmtId="0" fontId="4" fillId="0" borderId="39" xfId="0" applyFont="1" applyBorder="1" applyAlignment="1">
      <alignment horizontal="center"/>
    </xf>
    <xf numFmtId="0" fontId="2" fillId="0" borderId="12" xfId="0" applyFont="1" applyBorder="1" applyAlignment="1">
      <alignment horizontal="center"/>
    </xf>
    <xf numFmtId="0" fontId="1" fillId="2" borderId="0" xfId="1" applyAlignment="1">
      <alignment horizontal="center"/>
    </xf>
    <xf numFmtId="0" fontId="2" fillId="4" borderId="9" xfId="0" applyFont="1" applyFill="1" applyBorder="1" applyAlignment="1">
      <alignment horizontal="center" vertical="center" wrapText="1"/>
    </xf>
    <xf numFmtId="0" fontId="4" fillId="0" borderId="18" xfId="0" applyFont="1" applyBorder="1" applyAlignment="1">
      <alignment horizontal="center"/>
    </xf>
    <xf numFmtId="0" fontId="4" fillId="5" borderId="8" xfId="0" applyFont="1" applyFill="1" applyBorder="1" applyAlignment="1">
      <alignment horizontal="center" vertical="center"/>
    </xf>
    <xf numFmtId="0" fontId="2" fillId="0" borderId="5" xfId="0" applyFont="1" applyBorder="1" applyAlignment="1">
      <alignment horizontal="center"/>
    </xf>
    <xf numFmtId="164" fontId="0" fillId="0" borderId="0" xfId="0" applyNumberFormat="1" applyAlignment="1">
      <alignment horizontal="center"/>
    </xf>
    <xf numFmtId="164" fontId="2" fillId="0" borderId="42" xfId="0" applyNumberFormat="1" applyFont="1" applyBorder="1" applyAlignment="1">
      <alignment horizontal="center"/>
    </xf>
    <xf numFmtId="164" fontId="1" fillId="2" borderId="0" xfId="1" applyNumberFormat="1" applyAlignment="1">
      <alignment horizontal="center"/>
    </xf>
    <xf numFmtId="165" fontId="1" fillId="2" borderId="0" xfId="1" applyNumberFormat="1" applyAlignment="1">
      <alignment horizontal="center"/>
    </xf>
    <xf numFmtId="0" fontId="7" fillId="0" borderId="51" xfId="0" applyFont="1" applyBorder="1" applyAlignment="1">
      <alignment horizontal="right" wrapText="1"/>
    </xf>
    <xf numFmtId="0" fontId="8" fillId="0" borderId="51" xfId="0" applyFont="1" applyBorder="1" applyAlignment="1">
      <alignment horizontal="right" wrapText="1"/>
    </xf>
    <xf numFmtId="0" fontId="9" fillId="0" borderId="51" xfId="0" applyFont="1" applyBorder="1" applyAlignment="1">
      <alignment horizontal="right"/>
    </xf>
    <xf numFmtId="0" fontId="0" fillId="0" borderId="0" xfId="0" applyAlignment="1">
      <alignment wrapText="1"/>
    </xf>
    <xf numFmtId="0" fontId="4" fillId="0" borderId="23" xfId="0" applyFont="1" applyBorder="1" applyAlignment="1">
      <alignment vertical="center" wrapText="1"/>
    </xf>
    <xf numFmtId="0" fontId="4" fillId="0" borderId="53" xfId="0" applyFont="1" applyBorder="1" applyAlignment="1">
      <alignment vertical="center" wrapText="1"/>
    </xf>
    <xf numFmtId="0" fontId="4" fillId="0" borderId="22" xfId="0" applyFont="1" applyBorder="1" applyAlignment="1">
      <alignment vertical="center" wrapText="1"/>
    </xf>
    <xf numFmtId="164" fontId="4" fillId="0" borderId="20" xfId="0" applyNumberFormat="1" applyFont="1" applyBorder="1"/>
    <xf numFmtId="164" fontId="4" fillId="0" borderId="20" xfId="0" applyNumberFormat="1" applyFont="1" applyBorder="1" applyAlignment="1">
      <alignment horizontal="center"/>
    </xf>
    <xf numFmtId="0" fontId="4" fillId="0" borderId="22" xfId="0" applyFont="1" applyBorder="1" applyAlignment="1">
      <alignment wrapText="1"/>
    </xf>
    <xf numFmtId="0" fontId="4" fillId="0" borderId="54" xfId="0" applyFont="1" applyBorder="1" applyAlignment="1">
      <alignment horizontal="center" vertical="center"/>
    </xf>
    <xf numFmtId="0" fontId="4" fillId="0" borderId="55" xfId="0" applyFont="1" applyBorder="1" applyAlignment="1">
      <alignment vertical="center" wrapText="1"/>
    </xf>
    <xf numFmtId="0" fontId="4" fillId="0" borderId="56" xfId="0" applyFont="1" applyBorder="1" applyAlignment="1">
      <alignment horizontal="center" vertical="center"/>
    </xf>
    <xf numFmtId="164" fontId="4" fillId="0" borderId="57" xfId="0" applyNumberFormat="1" applyFont="1" applyBorder="1" applyAlignment="1">
      <alignment horizontal="center" vertical="center"/>
    </xf>
    <xf numFmtId="0" fontId="4" fillId="0" borderId="55" xfId="0" applyFont="1" applyBorder="1" applyAlignment="1">
      <alignment horizontal="center" vertical="center"/>
    </xf>
    <xf numFmtId="0" fontId="4" fillId="0" borderId="37" xfId="0" applyFont="1" applyBorder="1" applyAlignment="1">
      <alignment horizontal="center"/>
    </xf>
    <xf numFmtId="164" fontId="4" fillId="0" borderId="27" xfId="0" applyNumberFormat="1" applyFont="1" applyBorder="1" applyAlignment="1">
      <alignment horizontal="center" vertical="center"/>
    </xf>
    <xf numFmtId="0" fontId="4" fillId="0" borderId="18" xfId="0" applyFont="1" applyBorder="1" applyAlignment="1">
      <alignment vertical="center" wrapText="1"/>
    </xf>
    <xf numFmtId="0" fontId="4" fillId="0" borderId="58" xfId="0" applyFont="1" applyBorder="1" applyAlignment="1">
      <alignment horizontal="center" vertical="center"/>
    </xf>
    <xf numFmtId="0" fontId="4" fillId="0" borderId="41" xfId="0" applyFont="1" applyBorder="1" applyAlignment="1">
      <alignment vertical="center" wrapText="1"/>
    </xf>
    <xf numFmtId="0" fontId="4" fillId="0" borderId="22" xfId="0" applyFont="1" applyBorder="1" applyAlignment="1">
      <alignment horizontal="right" vertical="center" wrapText="1" readingOrder="2"/>
    </xf>
    <xf numFmtId="166" fontId="4" fillId="0" borderId="38" xfId="0" applyNumberFormat="1" applyFont="1" applyBorder="1" applyAlignment="1">
      <alignment horizontal="center"/>
    </xf>
    <xf numFmtId="0" fontId="4" fillId="0" borderId="41" xfId="0" applyFont="1" applyBorder="1" applyAlignment="1">
      <alignment horizontal="right" vertical="center" wrapText="1" readingOrder="2"/>
    </xf>
    <xf numFmtId="166" fontId="4" fillId="0" borderId="0" xfId="0" applyNumberFormat="1" applyFont="1" applyAlignment="1">
      <alignment horizontal="center"/>
    </xf>
    <xf numFmtId="164" fontId="4" fillId="0" borderId="42" xfId="0" applyNumberFormat="1" applyFont="1" applyBorder="1" applyAlignment="1">
      <alignment horizontal="center" vertical="center"/>
    </xf>
    <xf numFmtId="0" fontId="12" fillId="0" borderId="9" xfId="0" applyFont="1" applyBorder="1" applyAlignment="1">
      <alignment horizontal="center"/>
    </xf>
    <xf numFmtId="0" fontId="0" fillId="0" borderId="52" xfId="0" applyBorder="1"/>
    <xf numFmtId="0" fontId="2" fillId="0" borderId="24" xfId="0" applyFont="1" applyBorder="1" applyAlignment="1">
      <alignment horizontal="center"/>
    </xf>
    <xf numFmtId="49" fontId="2" fillId="0" borderId="3" xfId="0" applyNumberFormat="1" applyFont="1" applyBorder="1" applyAlignment="1">
      <alignment horizontal="center" vertical="center"/>
    </xf>
    <xf numFmtId="164" fontId="2" fillId="0" borderId="62" xfId="0" applyNumberFormat="1" applyFont="1" applyBorder="1"/>
    <xf numFmtId="0" fontId="2" fillId="0" borderId="63" xfId="0" applyFont="1" applyBorder="1" applyAlignment="1">
      <alignment horizontal="center"/>
    </xf>
    <xf numFmtId="49" fontId="2" fillId="4" borderId="7" xfId="0" applyNumberFormat="1" applyFont="1" applyFill="1" applyBorder="1" applyAlignment="1">
      <alignment horizontal="center" vertical="center"/>
    </xf>
    <xf numFmtId="49" fontId="2" fillId="0" borderId="7" xfId="0" applyNumberFormat="1" applyFont="1" applyBorder="1" applyAlignment="1">
      <alignment horizontal="center" vertical="center"/>
    </xf>
    <xf numFmtId="0" fontId="2" fillId="0" borderId="8" xfId="0" applyFont="1" applyBorder="1"/>
    <xf numFmtId="164" fontId="2" fillId="0" borderId="5" xfId="0" applyNumberFormat="1" applyFont="1" applyBorder="1"/>
    <xf numFmtId="0" fontId="4" fillId="0" borderId="21" xfId="0" applyFont="1" applyBorder="1" applyAlignment="1">
      <alignment horizontal="center"/>
    </xf>
    <xf numFmtId="49" fontId="2" fillId="0" borderId="10" xfId="0" applyNumberFormat="1"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164" fontId="4" fillId="0" borderId="49" xfId="0" applyNumberFormat="1" applyFont="1" applyBorder="1"/>
    <xf numFmtId="0" fontId="4" fillId="0" borderId="63" xfId="0" applyFont="1" applyBorder="1" applyAlignment="1">
      <alignment horizontal="center"/>
    </xf>
    <xf numFmtId="0" fontId="0" fillId="0" borderId="0" xfId="0" applyAlignment="1">
      <alignment vertical="center" wrapText="1"/>
    </xf>
    <xf numFmtId="0" fontId="12" fillId="0" borderId="41" xfId="0" applyFont="1" applyBorder="1" applyAlignment="1">
      <alignment vertical="center" wrapText="1"/>
    </xf>
    <xf numFmtId="0" fontId="7" fillId="0" borderId="0" xfId="0" applyFont="1" applyAlignment="1">
      <alignment horizontal="right" wrapText="1"/>
    </xf>
    <xf numFmtId="0" fontId="13" fillId="0" borderId="9" xfId="0" applyFont="1" applyBorder="1"/>
    <xf numFmtId="0" fontId="10" fillId="0" borderId="0" xfId="0" applyFont="1"/>
    <xf numFmtId="0" fontId="4" fillId="0" borderId="42" xfId="0" applyFont="1" applyBorder="1" applyAlignment="1">
      <alignment horizontal="center"/>
    </xf>
    <xf numFmtId="164" fontId="4" fillId="0" borderId="42" xfId="0" applyNumberFormat="1" applyFont="1" applyBorder="1" applyAlignment="1">
      <alignment horizontal="center"/>
    </xf>
    <xf numFmtId="0" fontId="2" fillId="0" borderId="63" xfId="0" applyFont="1" applyBorder="1" applyAlignment="1">
      <alignment horizontal="center" wrapText="1"/>
    </xf>
    <xf numFmtId="0" fontId="4" fillId="0" borderId="22" xfId="0" applyFont="1" applyBorder="1" applyAlignment="1">
      <alignment horizontal="center" wrapText="1"/>
    </xf>
    <xf numFmtId="0" fontId="14" fillId="0" borderId="9" xfId="0" applyFont="1" applyBorder="1"/>
    <xf numFmtId="0" fontId="13" fillId="0" borderId="48" xfId="0" applyFont="1" applyBorder="1"/>
    <xf numFmtId="0" fontId="10" fillId="0" borderId="0" xfId="0" applyFont="1" applyAlignment="1">
      <alignment horizontal="center"/>
    </xf>
    <xf numFmtId="0" fontId="2" fillId="0" borderId="40" xfId="0" applyFont="1" applyBorder="1" applyAlignment="1">
      <alignment horizontal="center"/>
    </xf>
    <xf numFmtId="0" fontId="4" fillId="0" borderId="64" xfId="0" applyFont="1" applyBorder="1" applyAlignment="1">
      <alignment horizontal="center" vertical="center"/>
    </xf>
    <xf numFmtId="164" fontId="4" fillId="0" borderId="16" xfId="0" applyNumberFormat="1" applyFont="1" applyBorder="1" applyAlignment="1">
      <alignment horizontal="center" vertical="center"/>
    </xf>
    <xf numFmtId="164" fontId="4" fillId="0" borderId="9" xfId="0" applyNumberFormat="1" applyFont="1" applyBorder="1"/>
    <xf numFmtId="0" fontId="4" fillId="0" borderId="9" xfId="0" applyFont="1" applyBorder="1" applyAlignment="1">
      <alignment horizontal="center"/>
    </xf>
    <xf numFmtId="44" fontId="2" fillId="0" borderId="9" xfId="0" applyNumberFormat="1" applyFont="1" applyBorder="1" applyAlignment="1">
      <alignment horizontal="center"/>
    </xf>
    <xf numFmtId="44" fontId="4" fillId="0" borderId="24" xfId="0" applyNumberFormat="1" applyFont="1" applyBorder="1" applyAlignment="1">
      <alignment horizontal="center"/>
    </xf>
    <xf numFmtId="44" fontId="12" fillId="0" borderId="9" xfId="0" applyNumberFormat="1" applyFont="1" applyBorder="1" applyAlignment="1">
      <alignment horizontal="center"/>
    </xf>
    <xf numFmtId="165" fontId="0" fillId="0" borderId="0" xfId="0" applyNumberFormat="1" applyAlignment="1">
      <alignment horizontal="center"/>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0" fontId="2" fillId="0" borderId="3" xfId="0" applyFont="1" applyBorder="1" applyAlignment="1">
      <alignment horizontal="left" wrapText="1"/>
    </xf>
    <xf numFmtId="0" fontId="2" fillId="0" borderId="4" xfId="0" applyFont="1" applyBorder="1" applyAlignment="1">
      <alignment horizontal="left" wrapText="1"/>
    </xf>
    <xf numFmtId="0" fontId="2" fillId="0" borderId="5" xfId="0" applyFont="1" applyBorder="1" applyAlignment="1">
      <alignment horizontal="left" wrapText="1"/>
    </xf>
    <xf numFmtId="0" fontId="4" fillId="0" borderId="4"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wrapText="1"/>
    </xf>
    <xf numFmtId="0" fontId="4" fillId="0" borderId="5" xfId="0" applyFont="1" applyBorder="1" applyAlignment="1">
      <alignment vertical="center"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4" borderId="52" xfId="0" applyFont="1" applyFill="1" applyBorder="1" applyAlignment="1">
      <alignment horizontal="center" vertical="center" wrapText="1"/>
    </xf>
    <xf numFmtId="0" fontId="5" fillId="4" borderId="38" xfId="0" applyFont="1" applyFill="1" applyBorder="1" applyAlignment="1">
      <alignment horizontal="center" vertical="center" wrapText="1"/>
    </xf>
    <xf numFmtId="0" fontId="5" fillId="4" borderId="31" xfId="0" applyFont="1" applyFill="1" applyBorder="1" applyAlignment="1">
      <alignment horizontal="center" vertical="center" wrapText="1"/>
    </xf>
    <xf numFmtId="0" fontId="2" fillId="4" borderId="52" xfId="0" applyFont="1" applyFill="1" applyBorder="1" applyAlignment="1">
      <alignment horizontal="center" vertical="center" wrapText="1"/>
    </xf>
    <xf numFmtId="0" fontId="2" fillId="4" borderId="38"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37"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2" fillId="0" borderId="59" xfId="0" applyFont="1" applyBorder="1" applyAlignment="1">
      <alignment horizontal="left" wrapText="1"/>
    </xf>
    <xf numFmtId="0" fontId="2" fillId="0" borderId="60" xfId="0" applyFont="1" applyBorder="1" applyAlignment="1">
      <alignment horizontal="left" wrapText="1"/>
    </xf>
    <xf numFmtId="0" fontId="2" fillId="0" borderId="61" xfId="0" applyFont="1" applyBorder="1" applyAlignment="1">
      <alignment horizontal="left" wrapText="1"/>
    </xf>
    <xf numFmtId="164" fontId="4" fillId="0" borderId="0" xfId="0" applyNumberFormat="1" applyFont="1" applyBorder="1"/>
    <xf numFmtId="0" fontId="4" fillId="0" borderId="65" xfId="0" applyFont="1" applyBorder="1" applyAlignment="1">
      <alignment horizontal="center" vertical="center"/>
    </xf>
    <xf numFmtId="0" fontId="4" fillId="0" borderId="66" xfId="0" applyFont="1" applyBorder="1" applyAlignment="1">
      <alignment horizontal="center" vertical="center"/>
    </xf>
    <xf numFmtId="0" fontId="8" fillId="0" borderId="67" xfId="0" applyFont="1" applyBorder="1" applyAlignment="1">
      <alignment horizontal="right" wrapText="1"/>
    </xf>
  </cellXfs>
  <cellStyles count="2">
    <cellStyle name="40% - הדגשה4" xfId="1" builtinId="4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86C2-8A67-4F1E-9491-3DCE6EA28935}">
  <dimension ref="B2:H173"/>
  <sheetViews>
    <sheetView rightToLeft="1" tabSelected="1" zoomScale="55" zoomScaleNormal="55" workbookViewId="0">
      <selection activeCell="F29" sqref="F29"/>
    </sheetView>
  </sheetViews>
  <sheetFormatPr defaultRowHeight="14" x14ac:dyDescent="0.3"/>
  <cols>
    <col min="2" max="2" width="37.08203125" customWidth="1"/>
    <col min="3" max="3" width="58.83203125" customWidth="1"/>
    <col min="4" max="4" width="11.58203125" customWidth="1"/>
    <col min="6" max="6" width="9.83203125" bestFit="1" customWidth="1"/>
    <col min="7" max="7" width="42.83203125" style="80" customWidth="1"/>
    <col min="8" max="8" width="24.25" style="80" customWidth="1"/>
  </cols>
  <sheetData>
    <row r="2" spans="2:8" ht="14.5" thickBot="1" x14ac:dyDescent="0.35"/>
    <row r="3" spans="2:8" ht="49.15" customHeight="1" thickBot="1" x14ac:dyDescent="0.35">
      <c r="B3" s="60" t="s">
        <v>32</v>
      </c>
      <c r="C3" s="1"/>
      <c r="D3" s="2"/>
      <c r="E3" s="2"/>
      <c r="F3" s="3"/>
      <c r="G3" s="81" t="s">
        <v>31</v>
      </c>
      <c r="H3" s="66" t="s">
        <v>99</v>
      </c>
    </row>
    <row r="4" spans="2:8" ht="14.5" thickBot="1" x14ac:dyDescent="0.35">
      <c r="B4" s="4"/>
      <c r="C4" s="5"/>
      <c r="D4" s="6"/>
      <c r="E4" s="6"/>
      <c r="F4" s="176"/>
      <c r="G4" s="176"/>
      <c r="H4" s="177"/>
    </row>
    <row r="5" spans="2:8" ht="20" x14ac:dyDescent="0.3">
      <c r="B5" s="184" t="s">
        <v>0</v>
      </c>
      <c r="C5" s="185"/>
      <c r="D5" s="185"/>
      <c r="E5" s="185"/>
      <c r="F5" s="185"/>
      <c r="G5" s="186"/>
      <c r="H5" s="96"/>
    </row>
    <row r="6" spans="2:8" ht="17.5" x14ac:dyDescent="0.3">
      <c r="B6" s="178" t="s">
        <v>98</v>
      </c>
      <c r="C6" s="179"/>
      <c r="D6" s="179"/>
      <c r="E6" s="179"/>
      <c r="F6" s="179"/>
      <c r="G6" s="180"/>
      <c r="H6" s="96"/>
    </row>
    <row r="7" spans="2:8" x14ac:dyDescent="0.3">
      <c r="B7" s="181"/>
      <c r="C7" s="182"/>
      <c r="D7" s="182"/>
      <c r="E7" s="182"/>
      <c r="F7" s="182"/>
      <c r="G7" s="183"/>
      <c r="H7" s="96"/>
    </row>
    <row r="8" spans="2:8" x14ac:dyDescent="0.3">
      <c r="B8" s="7"/>
      <c r="C8" s="8"/>
      <c r="D8" s="9"/>
      <c r="E8" s="9"/>
      <c r="F8" s="10"/>
      <c r="G8" s="82"/>
      <c r="H8" s="82"/>
    </row>
    <row r="9" spans="2:8" x14ac:dyDescent="0.3">
      <c r="B9" s="7"/>
      <c r="C9" s="8"/>
      <c r="D9" s="9"/>
      <c r="E9" s="9"/>
      <c r="F9" s="10"/>
      <c r="G9" s="82"/>
      <c r="H9" s="82"/>
    </row>
    <row r="13" spans="2:8" ht="14.5" thickBot="1" x14ac:dyDescent="0.35"/>
    <row r="14" spans="2:8" ht="14.5" thickBot="1" x14ac:dyDescent="0.35">
      <c r="B14" s="12" t="s">
        <v>41</v>
      </c>
      <c r="C14" s="166" t="s">
        <v>40</v>
      </c>
      <c r="D14" s="167"/>
      <c r="E14" s="167"/>
      <c r="F14" s="167"/>
      <c r="G14" s="167"/>
      <c r="H14" s="168"/>
    </row>
    <row r="15" spans="2:8" ht="14.5" thickBot="1" x14ac:dyDescent="0.35">
      <c r="B15" s="13" t="s">
        <v>42</v>
      </c>
      <c r="C15" s="14" t="s">
        <v>40</v>
      </c>
      <c r="D15" s="15" t="s">
        <v>1</v>
      </c>
      <c r="E15" s="16" t="s">
        <v>2</v>
      </c>
      <c r="F15" s="17" t="s">
        <v>3</v>
      </c>
      <c r="G15" s="84" t="s">
        <v>9</v>
      </c>
      <c r="H15" s="84" t="s">
        <v>5</v>
      </c>
    </row>
    <row r="16" spans="2:8" ht="25.5" thickBot="1" x14ac:dyDescent="0.35">
      <c r="B16" s="140"/>
      <c r="C16" s="123" t="s">
        <v>100</v>
      </c>
      <c r="D16" s="141" t="s">
        <v>43</v>
      </c>
      <c r="E16" s="142">
        <v>1</v>
      </c>
      <c r="F16" s="143">
        <v>8000</v>
      </c>
      <c r="G16" s="144"/>
      <c r="H16" s="151">
        <f>F16</f>
        <v>8000</v>
      </c>
    </row>
    <row r="17" spans="2:8" ht="14.5" thickBot="1" x14ac:dyDescent="0.35">
      <c r="B17" s="140"/>
      <c r="C17" s="8" t="s">
        <v>96</v>
      </c>
      <c r="D17" s="141" t="s">
        <v>7</v>
      </c>
      <c r="E17" s="142">
        <v>39</v>
      </c>
      <c r="F17" s="143">
        <v>300</v>
      </c>
      <c r="G17" s="144"/>
      <c r="H17" s="151">
        <f>F17*E17</f>
        <v>11700</v>
      </c>
    </row>
    <row r="18" spans="2:8" ht="14.5" thickBot="1" x14ac:dyDescent="0.35">
      <c r="B18" s="140"/>
      <c r="C18" s="123" t="s">
        <v>101</v>
      </c>
      <c r="D18" s="141" t="s">
        <v>43</v>
      </c>
      <c r="E18" s="142"/>
      <c r="F18" s="143"/>
      <c r="G18" s="134"/>
      <c r="H18" s="151">
        <v>0</v>
      </c>
    </row>
    <row r="19" spans="2:8" ht="14.5" thickBot="1" x14ac:dyDescent="0.35">
      <c r="B19" s="140"/>
      <c r="C19" s="19" t="s">
        <v>83</v>
      </c>
      <c r="D19" s="141" t="s">
        <v>43</v>
      </c>
      <c r="E19" s="142">
        <v>0</v>
      </c>
      <c r="F19" s="143">
        <v>1000</v>
      </c>
      <c r="G19" s="134"/>
      <c r="H19" s="151">
        <f>F19</f>
        <v>1000</v>
      </c>
    </row>
    <row r="20" spans="2:8" ht="38.5" thickBot="1" x14ac:dyDescent="0.35">
      <c r="B20" s="140"/>
      <c r="C20" s="123" t="s">
        <v>102</v>
      </c>
      <c r="D20" s="141" t="s">
        <v>7</v>
      </c>
      <c r="E20" s="142">
        <v>30</v>
      </c>
      <c r="F20" s="143">
        <v>350</v>
      </c>
      <c r="G20" s="152" t="s">
        <v>103</v>
      </c>
      <c r="H20" s="151">
        <f>F20*E20</f>
        <v>10500</v>
      </c>
    </row>
    <row r="21" spans="2:8" ht="28.5" thickBot="1" x14ac:dyDescent="0.35">
      <c r="B21" s="140"/>
      <c r="C21" s="145" t="s">
        <v>81</v>
      </c>
      <c r="D21" s="141" t="s">
        <v>43</v>
      </c>
      <c r="E21" s="142">
        <v>1</v>
      </c>
      <c r="F21" s="143">
        <v>4500</v>
      </c>
      <c r="G21" s="144"/>
      <c r="H21" s="151">
        <f>F21*E21</f>
        <v>4500</v>
      </c>
    </row>
    <row r="22" spans="2:8" ht="28.5" thickBot="1" x14ac:dyDescent="0.35">
      <c r="B22" s="140"/>
      <c r="C22" s="107" t="s">
        <v>82</v>
      </c>
      <c r="D22" s="141" t="s">
        <v>95</v>
      </c>
      <c r="E22" s="192">
        <v>1</v>
      </c>
      <c r="F22" s="190">
        <f>H22</f>
        <v>7000</v>
      </c>
      <c r="G22" s="144"/>
      <c r="H22" s="150">
        <v>7000</v>
      </c>
    </row>
    <row r="23" spans="2:8" ht="15" thickBot="1" x14ac:dyDescent="0.4">
      <c r="B23" s="140"/>
      <c r="C23" s="105" t="s">
        <v>74</v>
      </c>
      <c r="D23" s="141" t="s">
        <v>1</v>
      </c>
      <c r="E23" s="192">
        <v>2</v>
      </c>
      <c r="F23" s="190">
        <v>600</v>
      </c>
      <c r="G23" s="144"/>
      <c r="H23" s="151">
        <f>F23*E23</f>
        <v>1200</v>
      </c>
    </row>
    <row r="24" spans="2:8" ht="15" thickBot="1" x14ac:dyDescent="0.4">
      <c r="B24" s="140"/>
      <c r="C24" s="193" t="s">
        <v>139</v>
      </c>
      <c r="D24" s="191" t="s">
        <v>140</v>
      </c>
      <c r="E24" s="191"/>
      <c r="F24" s="190"/>
      <c r="G24" s="144"/>
      <c r="H24" s="151">
        <v>0</v>
      </c>
    </row>
    <row r="25" spans="2:8" ht="14.5" thickBot="1" x14ac:dyDescent="0.35">
      <c r="B25" s="28"/>
      <c r="C25" s="169" t="s">
        <v>35</v>
      </c>
      <c r="D25" s="170"/>
      <c r="E25" s="170"/>
      <c r="F25" s="170"/>
      <c r="G25" s="171"/>
      <c r="H25" s="29">
        <f>SUM(H16:H23)</f>
        <v>43900</v>
      </c>
    </row>
    <row r="30" spans="2:8" ht="14.5" thickBot="1" x14ac:dyDescent="0.35"/>
    <row r="31" spans="2:8" ht="14.5" thickBot="1" x14ac:dyDescent="0.35">
      <c r="B31" s="12" t="s">
        <v>33</v>
      </c>
      <c r="C31" s="166" t="s">
        <v>39</v>
      </c>
      <c r="D31" s="167"/>
      <c r="E31" s="167"/>
      <c r="F31" s="167"/>
      <c r="G31" s="167"/>
      <c r="H31" s="168"/>
    </row>
    <row r="32" spans="2:8" ht="14.5" thickBot="1" x14ac:dyDescent="0.35">
      <c r="B32" s="13" t="s">
        <v>34</v>
      </c>
      <c r="C32" s="14" t="s">
        <v>8</v>
      </c>
      <c r="D32" s="43" t="s">
        <v>1</v>
      </c>
      <c r="E32" s="44" t="s">
        <v>2</v>
      </c>
      <c r="F32" s="49" t="s">
        <v>3</v>
      </c>
      <c r="G32" s="85" t="s">
        <v>9</v>
      </c>
      <c r="H32" s="85" t="s">
        <v>5</v>
      </c>
    </row>
    <row r="33" spans="2:8" ht="25.5" thickBot="1" x14ac:dyDescent="0.35">
      <c r="B33" s="140"/>
      <c r="C33" s="146" t="s">
        <v>80</v>
      </c>
      <c r="D33" s="11" t="s">
        <v>43</v>
      </c>
      <c r="E33" s="11">
        <v>1</v>
      </c>
      <c r="F33" s="160">
        <v>3500</v>
      </c>
      <c r="G33" s="161"/>
      <c r="H33" s="161">
        <v>3500</v>
      </c>
    </row>
    <row r="34" spans="2:8" ht="46" customHeight="1" thickBot="1" x14ac:dyDescent="0.35">
      <c r="B34" s="18"/>
      <c r="C34" s="8" t="s">
        <v>84</v>
      </c>
      <c r="D34" s="158" t="s">
        <v>85</v>
      </c>
      <c r="E34" s="20">
        <v>1</v>
      </c>
      <c r="F34" s="159">
        <v>2980</v>
      </c>
      <c r="G34" s="65"/>
      <c r="H34" s="22">
        <f>F34*E34</f>
        <v>2980</v>
      </c>
    </row>
    <row r="35" spans="2:8" ht="81.75" customHeight="1" thickBot="1" x14ac:dyDescent="0.35">
      <c r="B35" s="18"/>
      <c r="C35" s="108" t="s">
        <v>48</v>
      </c>
      <c r="D35" s="23" t="s">
        <v>45</v>
      </c>
      <c r="E35" s="11">
        <v>12</v>
      </c>
      <c r="F35" s="24"/>
      <c r="G35" s="65"/>
      <c r="H35" s="25">
        <v>5500</v>
      </c>
    </row>
    <row r="36" spans="2:8" ht="46" customHeight="1" thickBot="1" x14ac:dyDescent="0.35">
      <c r="B36" s="18"/>
      <c r="C36" s="8" t="s">
        <v>46</v>
      </c>
      <c r="D36" s="23" t="s">
        <v>45</v>
      </c>
      <c r="E36" s="11">
        <v>2.4</v>
      </c>
      <c r="F36" s="24">
        <v>380</v>
      </c>
      <c r="G36" s="65"/>
      <c r="H36" s="25">
        <f>F36*E36</f>
        <v>912</v>
      </c>
    </row>
    <row r="37" spans="2:8" ht="46" customHeight="1" thickBot="1" x14ac:dyDescent="0.35">
      <c r="B37" s="18"/>
      <c r="C37" s="8" t="s">
        <v>47</v>
      </c>
      <c r="D37" s="23" t="s">
        <v>44</v>
      </c>
      <c r="E37" s="11">
        <v>1</v>
      </c>
      <c r="F37" s="24">
        <v>2700</v>
      </c>
      <c r="G37" s="65"/>
      <c r="H37" s="25">
        <f t="shared" ref="H37:H38" si="0">F37*E37</f>
        <v>2700</v>
      </c>
    </row>
    <row r="38" spans="2:8" ht="82.5" customHeight="1" thickBot="1" x14ac:dyDescent="0.35">
      <c r="B38" s="18"/>
      <c r="C38" s="109" t="s">
        <v>56</v>
      </c>
      <c r="D38" s="23" t="s">
        <v>7</v>
      </c>
      <c r="E38" s="11">
        <v>30</v>
      </c>
      <c r="F38" s="24">
        <v>580</v>
      </c>
      <c r="G38" s="65"/>
      <c r="H38" s="25">
        <f t="shared" si="0"/>
        <v>17400</v>
      </c>
    </row>
    <row r="39" spans="2:8" ht="82.5" customHeight="1" thickBot="1" x14ac:dyDescent="0.35">
      <c r="B39" s="18"/>
      <c r="C39" s="108" t="s">
        <v>49</v>
      </c>
      <c r="D39" s="23" t="s">
        <v>43</v>
      </c>
      <c r="E39" s="11">
        <v>1</v>
      </c>
      <c r="F39" s="24"/>
      <c r="G39" s="65"/>
      <c r="H39" s="25">
        <v>3500</v>
      </c>
    </row>
    <row r="40" spans="2:8" ht="82.5" customHeight="1" thickBot="1" x14ac:dyDescent="0.4">
      <c r="B40" s="18"/>
      <c r="C40" s="104" t="s">
        <v>50</v>
      </c>
      <c r="D40" s="23" t="s">
        <v>1</v>
      </c>
      <c r="E40" s="11">
        <v>0</v>
      </c>
      <c r="F40" s="24">
        <v>2080</v>
      </c>
      <c r="G40" s="65" t="s">
        <v>97</v>
      </c>
      <c r="H40" s="25">
        <v>0</v>
      </c>
    </row>
    <row r="41" spans="2:8" ht="82.5" customHeight="1" thickBot="1" x14ac:dyDescent="0.4">
      <c r="B41" s="18"/>
      <c r="C41" s="147" t="s">
        <v>105</v>
      </c>
      <c r="D41" s="23" t="s">
        <v>7</v>
      </c>
      <c r="E41" s="11">
        <v>18</v>
      </c>
      <c r="F41" s="24">
        <v>450</v>
      </c>
      <c r="G41" s="65"/>
      <c r="H41" s="25">
        <f>F41*E41</f>
        <v>8100</v>
      </c>
    </row>
    <row r="42" spans="2:8" ht="82.5" customHeight="1" thickBot="1" x14ac:dyDescent="0.4">
      <c r="B42" s="18"/>
      <c r="C42" s="147" t="s">
        <v>104</v>
      </c>
      <c r="D42" s="23" t="s">
        <v>7</v>
      </c>
      <c r="E42" s="11">
        <v>10</v>
      </c>
      <c r="F42" s="24">
        <v>550</v>
      </c>
      <c r="G42" s="65"/>
      <c r="H42" s="25">
        <f>F42*E42</f>
        <v>5500</v>
      </c>
    </row>
    <row r="43" spans="2:8" ht="82.5" customHeight="1" thickBot="1" x14ac:dyDescent="0.4">
      <c r="B43" s="18"/>
      <c r="C43" s="147" t="s">
        <v>106</v>
      </c>
      <c r="D43" s="23" t="s">
        <v>43</v>
      </c>
      <c r="E43" s="11"/>
      <c r="F43" s="24">
        <v>3700</v>
      </c>
      <c r="G43" s="65"/>
      <c r="H43" s="25">
        <f>F43</f>
        <v>3700</v>
      </c>
    </row>
    <row r="44" spans="2:8" ht="82.5" customHeight="1" thickBot="1" x14ac:dyDescent="0.35">
      <c r="B44" s="18"/>
      <c r="C44" s="8" t="s">
        <v>51</v>
      </c>
      <c r="D44" s="23" t="s">
        <v>43</v>
      </c>
      <c r="E44" s="11">
        <v>1</v>
      </c>
      <c r="F44" s="24">
        <v>3000</v>
      </c>
      <c r="G44" s="65" t="s">
        <v>69</v>
      </c>
      <c r="H44" s="25"/>
    </row>
    <row r="45" spans="2:8" ht="15" thickBot="1" x14ac:dyDescent="0.4">
      <c r="B45" s="18"/>
      <c r="C45" s="105" t="s">
        <v>75</v>
      </c>
      <c r="D45" s="23" t="s">
        <v>1</v>
      </c>
      <c r="E45" s="11">
        <v>1</v>
      </c>
      <c r="F45" s="24">
        <v>3200</v>
      </c>
      <c r="G45" s="21"/>
      <c r="H45" s="25">
        <f>F45*E45</f>
        <v>3200</v>
      </c>
    </row>
    <row r="46" spans="2:8" ht="14.5" thickBot="1" x14ac:dyDescent="0.35">
      <c r="B46" s="28"/>
      <c r="C46" s="169" t="s">
        <v>35</v>
      </c>
      <c r="D46" s="170"/>
      <c r="E46" s="170"/>
      <c r="F46" s="170"/>
      <c r="G46" s="171"/>
      <c r="H46" s="29">
        <f>SUM(H33:H45)</f>
        <v>56992</v>
      </c>
    </row>
    <row r="53" spans="2:8" ht="14.5" thickBot="1" x14ac:dyDescent="0.35"/>
    <row r="54" spans="2:8" ht="14.5" thickBot="1" x14ac:dyDescent="0.35">
      <c r="B54" s="12" t="s">
        <v>10</v>
      </c>
      <c r="C54" s="166" t="s">
        <v>11</v>
      </c>
      <c r="D54" s="172"/>
      <c r="E54" s="172"/>
      <c r="F54" s="172"/>
      <c r="G54" s="172"/>
      <c r="H54" s="173"/>
    </row>
    <row r="55" spans="2:8" ht="14.5" thickBot="1" x14ac:dyDescent="0.35">
      <c r="B55" s="13" t="s">
        <v>12</v>
      </c>
      <c r="C55" s="30" t="s">
        <v>13</v>
      </c>
      <c r="D55" s="31" t="s">
        <v>1</v>
      </c>
      <c r="E55" s="32" t="s">
        <v>2</v>
      </c>
      <c r="F55" s="33" t="s">
        <v>3</v>
      </c>
      <c r="G55" s="85" t="s">
        <v>4</v>
      </c>
      <c r="H55" s="85" t="s">
        <v>5</v>
      </c>
    </row>
    <row r="56" spans="2:8" ht="25" x14ac:dyDescent="0.3">
      <c r="B56" s="34"/>
      <c r="C56" s="35" t="s">
        <v>52</v>
      </c>
      <c r="D56" s="36"/>
      <c r="E56" s="37"/>
      <c r="F56" s="38"/>
      <c r="G56" s="86"/>
      <c r="H56" s="86"/>
    </row>
    <row r="57" spans="2:8" ht="76.5" customHeight="1" x14ac:dyDescent="0.3">
      <c r="B57" s="34"/>
      <c r="C57" s="110" t="s">
        <v>53</v>
      </c>
      <c r="D57" s="39"/>
      <c r="E57" s="11"/>
      <c r="F57" s="111"/>
      <c r="G57" s="87"/>
      <c r="H57" s="97"/>
    </row>
    <row r="58" spans="2:8" ht="76.5" customHeight="1" x14ac:dyDescent="0.3">
      <c r="B58" s="34"/>
      <c r="C58" s="110" t="s">
        <v>108</v>
      </c>
      <c r="D58" s="39" t="s">
        <v>6</v>
      </c>
      <c r="E58" s="11">
        <v>1</v>
      </c>
      <c r="F58" s="111">
        <v>3000</v>
      </c>
      <c r="G58" s="87"/>
      <c r="H58" s="40">
        <f>F58</f>
        <v>3000</v>
      </c>
    </row>
    <row r="59" spans="2:8" ht="76.5" customHeight="1" x14ac:dyDescent="0.3">
      <c r="B59" s="34"/>
      <c r="C59" s="110" t="s">
        <v>107</v>
      </c>
      <c r="D59" s="39" t="s">
        <v>6</v>
      </c>
      <c r="E59" s="11">
        <v>2</v>
      </c>
      <c r="F59" s="111">
        <v>1800</v>
      </c>
      <c r="G59" s="87"/>
      <c r="H59" s="40">
        <f>F59</f>
        <v>1800</v>
      </c>
    </row>
    <row r="60" spans="2:8" ht="76.5" customHeight="1" x14ac:dyDescent="0.3">
      <c r="B60" s="34"/>
      <c r="C60" s="110" t="s">
        <v>109</v>
      </c>
      <c r="D60" s="39" t="s">
        <v>6</v>
      </c>
      <c r="E60" s="11">
        <v>1</v>
      </c>
      <c r="F60" s="111">
        <v>1980</v>
      </c>
      <c r="G60" s="87"/>
      <c r="H60" s="40">
        <f>F60</f>
        <v>1980</v>
      </c>
    </row>
    <row r="61" spans="2:8" ht="76.5" customHeight="1" x14ac:dyDescent="0.3">
      <c r="B61" s="34"/>
      <c r="C61" s="110" t="s">
        <v>133</v>
      </c>
      <c r="D61" s="39" t="s">
        <v>1</v>
      </c>
      <c r="E61" s="11"/>
      <c r="F61" s="112">
        <v>1450</v>
      </c>
      <c r="G61" s="87"/>
      <c r="H61" s="40">
        <f>F61*E61</f>
        <v>0</v>
      </c>
    </row>
    <row r="62" spans="2:8" ht="76.5" customHeight="1" x14ac:dyDescent="0.3">
      <c r="B62" s="34"/>
      <c r="C62" s="110" t="s">
        <v>77</v>
      </c>
      <c r="D62" s="39" t="s">
        <v>6</v>
      </c>
      <c r="E62" s="11">
        <v>2</v>
      </c>
      <c r="F62" s="112">
        <v>2800</v>
      </c>
      <c r="G62" s="87"/>
      <c r="H62" s="40">
        <f>F62*E62</f>
        <v>5600</v>
      </c>
    </row>
    <row r="63" spans="2:8" ht="76.5" customHeight="1" x14ac:dyDescent="0.3">
      <c r="B63" s="34"/>
      <c r="C63" s="110" t="s">
        <v>110</v>
      </c>
      <c r="D63" s="39" t="s">
        <v>6</v>
      </c>
      <c r="E63" s="11">
        <v>1</v>
      </c>
      <c r="F63" s="111">
        <v>2800</v>
      </c>
      <c r="G63" s="87"/>
      <c r="H63" s="40">
        <f>F63</f>
        <v>2800</v>
      </c>
    </row>
    <row r="64" spans="2:8" ht="76.5" customHeight="1" x14ac:dyDescent="0.3">
      <c r="B64" s="34"/>
      <c r="C64" s="113" t="s">
        <v>54</v>
      </c>
      <c r="D64" s="39" t="s">
        <v>1</v>
      </c>
      <c r="E64" s="11">
        <v>1</v>
      </c>
      <c r="F64" s="24">
        <v>2800</v>
      </c>
      <c r="G64" s="153" t="s">
        <v>134</v>
      </c>
      <c r="H64" s="40">
        <f>F64</f>
        <v>2800</v>
      </c>
    </row>
    <row r="65" spans="2:8" ht="76.5" customHeight="1" x14ac:dyDescent="0.3">
      <c r="B65" s="34"/>
      <c r="C65" s="113" t="s">
        <v>111</v>
      </c>
      <c r="D65" s="39" t="s">
        <v>6</v>
      </c>
      <c r="E65" s="11">
        <v>4</v>
      </c>
      <c r="F65" s="24">
        <v>3200</v>
      </c>
      <c r="G65" s="87"/>
      <c r="H65" s="40">
        <f>F65*E65</f>
        <v>12800</v>
      </c>
    </row>
    <row r="66" spans="2:8" ht="76.5" customHeight="1" x14ac:dyDescent="0.3">
      <c r="B66" s="34"/>
      <c r="C66" s="113" t="s">
        <v>112</v>
      </c>
      <c r="D66" s="39" t="s">
        <v>6</v>
      </c>
      <c r="E66" s="11">
        <v>1</v>
      </c>
      <c r="F66" s="24">
        <v>2800</v>
      </c>
      <c r="G66" s="87"/>
      <c r="H66" s="40">
        <f>F66</f>
        <v>2800</v>
      </c>
    </row>
    <row r="67" spans="2:8" ht="76.5" customHeight="1" x14ac:dyDescent="0.3">
      <c r="B67" s="34"/>
      <c r="C67" s="110" t="s">
        <v>86</v>
      </c>
      <c r="D67" s="39" t="s">
        <v>6</v>
      </c>
      <c r="E67" s="11">
        <v>1</v>
      </c>
      <c r="F67" s="111">
        <v>3500</v>
      </c>
      <c r="G67" s="87" t="s">
        <v>113</v>
      </c>
      <c r="H67" s="40"/>
    </row>
    <row r="68" spans="2:8" ht="60.65" customHeight="1" x14ac:dyDescent="0.3">
      <c r="B68" s="34"/>
      <c r="C68" s="110" t="s">
        <v>76</v>
      </c>
      <c r="D68" s="39" t="s">
        <v>44</v>
      </c>
      <c r="E68" s="11">
        <v>1</v>
      </c>
      <c r="F68" s="111">
        <v>6000</v>
      </c>
      <c r="G68" s="41" t="s">
        <v>113</v>
      </c>
      <c r="H68" s="40"/>
    </row>
    <row r="69" spans="2:8" ht="14.5" thickBot="1" x14ac:dyDescent="0.35">
      <c r="B69" s="34"/>
      <c r="C69" s="115" t="s">
        <v>55</v>
      </c>
      <c r="D69" s="114" t="s">
        <v>44</v>
      </c>
      <c r="E69" s="116"/>
      <c r="F69" s="117">
        <v>3200</v>
      </c>
      <c r="G69" s="118"/>
      <c r="H69" s="25">
        <v>3200</v>
      </c>
    </row>
    <row r="70" spans="2:8" ht="14.5" thickBot="1" x14ac:dyDescent="0.35">
      <c r="B70" s="28"/>
      <c r="C70" s="169" t="s">
        <v>14</v>
      </c>
      <c r="D70" s="170"/>
      <c r="E70" s="170"/>
      <c r="F70" s="170"/>
      <c r="G70" s="171"/>
      <c r="H70" s="42">
        <f>SUM(H57:H69)</f>
        <v>36780</v>
      </c>
    </row>
    <row r="79" spans="2:8" ht="14.5" thickBot="1" x14ac:dyDescent="0.35"/>
    <row r="80" spans="2:8" x14ac:dyDescent="0.3">
      <c r="B80" s="72" t="s">
        <v>15</v>
      </c>
      <c r="C80" s="73" t="s">
        <v>16</v>
      </c>
      <c r="D80" s="74"/>
      <c r="E80" s="74"/>
      <c r="F80" s="75"/>
      <c r="G80" s="88"/>
      <c r="H80" s="98"/>
    </row>
    <row r="81" spans="2:8" x14ac:dyDescent="0.3">
      <c r="B81" s="76"/>
      <c r="C81" s="77" t="s">
        <v>16</v>
      </c>
      <c r="D81" s="78" t="s">
        <v>1</v>
      </c>
      <c r="E81" s="78" t="s">
        <v>2</v>
      </c>
      <c r="F81" s="79" t="s">
        <v>3</v>
      </c>
      <c r="G81" s="89" t="s">
        <v>4</v>
      </c>
      <c r="H81" s="89" t="s">
        <v>5</v>
      </c>
    </row>
    <row r="82" spans="2:8" x14ac:dyDescent="0.3">
      <c r="B82" s="76"/>
      <c r="C82" s="149"/>
      <c r="D82" s="78"/>
      <c r="E82" s="78"/>
      <c r="F82" s="79"/>
      <c r="G82" s="89"/>
      <c r="H82" s="162"/>
    </row>
    <row r="83" spans="2:8" x14ac:dyDescent="0.3">
      <c r="B83" s="76"/>
      <c r="C83" s="149"/>
      <c r="D83" s="78"/>
      <c r="E83" s="78"/>
      <c r="F83" s="79"/>
      <c r="G83" s="89"/>
      <c r="H83" s="162"/>
    </row>
    <row r="84" spans="2:8" x14ac:dyDescent="0.3">
      <c r="B84" s="76"/>
      <c r="C84" s="149"/>
      <c r="D84" s="78"/>
      <c r="E84" s="78"/>
      <c r="F84" s="79"/>
      <c r="G84" s="89"/>
      <c r="H84" s="162"/>
    </row>
    <row r="85" spans="2:8" x14ac:dyDescent="0.3">
      <c r="B85" s="76"/>
      <c r="C85" s="148" t="s">
        <v>87</v>
      </c>
      <c r="D85" s="78"/>
      <c r="E85" s="78">
        <v>45</v>
      </c>
      <c r="F85" s="154">
        <v>460</v>
      </c>
      <c r="G85" s="89"/>
      <c r="H85" s="162">
        <f t="shared" ref="H85:H96" si="1">F85*E85</f>
        <v>20700</v>
      </c>
    </row>
    <row r="86" spans="2:8" x14ac:dyDescent="0.3">
      <c r="B86" s="76"/>
      <c r="C86" s="148" t="s">
        <v>114</v>
      </c>
      <c r="D86" s="78"/>
      <c r="E86" s="78">
        <v>1</v>
      </c>
      <c r="F86" s="154">
        <v>2500</v>
      </c>
      <c r="G86" s="89"/>
      <c r="H86" s="162">
        <f t="shared" si="1"/>
        <v>2500</v>
      </c>
    </row>
    <row r="87" spans="2:8" x14ac:dyDescent="0.3">
      <c r="B87" s="76"/>
      <c r="C87" s="148" t="s">
        <v>115</v>
      </c>
      <c r="D87" s="78"/>
      <c r="E87" s="148">
        <v>7</v>
      </c>
      <c r="F87" s="154">
        <v>400</v>
      </c>
      <c r="G87" s="89"/>
      <c r="H87" s="162">
        <f t="shared" si="1"/>
        <v>2800</v>
      </c>
    </row>
    <row r="88" spans="2:8" x14ac:dyDescent="0.3">
      <c r="B88" s="76"/>
      <c r="C88" s="148" t="s">
        <v>88</v>
      </c>
      <c r="D88" s="26" t="s">
        <v>1</v>
      </c>
      <c r="E88" s="148">
        <v>16</v>
      </c>
      <c r="F88" s="154">
        <v>450</v>
      </c>
      <c r="G88" s="131"/>
      <c r="H88" s="163">
        <f t="shared" si="1"/>
        <v>7200</v>
      </c>
    </row>
    <row r="89" spans="2:8" x14ac:dyDescent="0.3">
      <c r="B89" s="130"/>
      <c r="C89" s="148" t="s">
        <v>89</v>
      </c>
      <c r="D89" s="26" t="s">
        <v>1</v>
      </c>
      <c r="E89" s="148">
        <v>14</v>
      </c>
      <c r="F89" s="154">
        <v>450</v>
      </c>
      <c r="G89" s="129"/>
      <c r="H89" s="164">
        <f t="shared" si="1"/>
        <v>6300</v>
      </c>
    </row>
    <row r="90" spans="2:8" x14ac:dyDescent="0.3">
      <c r="B90" s="130"/>
      <c r="C90" s="148" t="s">
        <v>90</v>
      </c>
      <c r="D90" s="26" t="s">
        <v>1</v>
      </c>
      <c r="E90" s="148"/>
      <c r="F90" s="154">
        <v>120</v>
      </c>
      <c r="G90" s="129"/>
      <c r="H90" s="164">
        <f t="shared" si="1"/>
        <v>0</v>
      </c>
    </row>
    <row r="91" spans="2:8" x14ac:dyDescent="0.3">
      <c r="B91" s="130"/>
      <c r="C91" s="148" t="s">
        <v>116</v>
      </c>
      <c r="D91" s="26" t="s">
        <v>1</v>
      </c>
      <c r="E91" s="148">
        <v>8</v>
      </c>
      <c r="F91" s="154">
        <v>650</v>
      </c>
      <c r="G91" s="129"/>
      <c r="H91" s="164">
        <f t="shared" si="1"/>
        <v>5200</v>
      </c>
    </row>
    <row r="92" spans="2:8" x14ac:dyDescent="0.3">
      <c r="B92" s="130"/>
      <c r="C92" s="148" t="s">
        <v>91</v>
      </c>
      <c r="D92" s="26" t="s">
        <v>1</v>
      </c>
      <c r="E92" s="148">
        <v>8</v>
      </c>
      <c r="F92" s="154">
        <v>550</v>
      </c>
      <c r="G92" s="129"/>
      <c r="H92" s="164">
        <f t="shared" si="1"/>
        <v>4400</v>
      </c>
    </row>
    <row r="93" spans="2:8" x14ac:dyDescent="0.3">
      <c r="B93" s="130"/>
      <c r="C93" s="148" t="s">
        <v>92</v>
      </c>
      <c r="D93" s="26" t="s">
        <v>1</v>
      </c>
      <c r="E93" s="148">
        <v>2</v>
      </c>
      <c r="F93" s="154">
        <v>550</v>
      </c>
      <c r="G93" s="129"/>
      <c r="H93" s="164">
        <f t="shared" si="1"/>
        <v>1100</v>
      </c>
    </row>
    <row r="94" spans="2:8" x14ac:dyDescent="0.3">
      <c r="B94" s="130"/>
      <c r="C94" s="148" t="s">
        <v>117</v>
      </c>
      <c r="D94" s="26" t="s">
        <v>1</v>
      </c>
      <c r="E94" s="148">
        <v>1</v>
      </c>
      <c r="F94" s="154">
        <v>2900</v>
      </c>
      <c r="G94" s="129"/>
      <c r="H94" s="164">
        <f t="shared" si="1"/>
        <v>2900</v>
      </c>
    </row>
    <row r="95" spans="2:8" x14ac:dyDescent="0.3">
      <c r="B95" s="130"/>
      <c r="C95" s="148" t="s">
        <v>93</v>
      </c>
      <c r="D95" s="26" t="s">
        <v>1</v>
      </c>
      <c r="E95" s="148">
        <v>9</v>
      </c>
      <c r="F95" s="154">
        <v>180</v>
      </c>
      <c r="G95" s="129"/>
      <c r="H95" s="164">
        <f t="shared" si="1"/>
        <v>1620</v>
      </c>
    </row>
    <row r="96" spans="2:8" x14ac:dyDescent="0.3">
      <c r="B96" s="130"/>
      <c r="C96" s="148" t="s">
        <v>118</v>
      </c>
      <c r="D96" s="26" t="s">
        <v>1</v>
      </c>
      <c r="E96" s="148"/>
      <c r="F96" s="154">
        <v>170</v>
      </c>
      <c r="G96" s="129"/>
      <c r="H96" s="164">
        <f t="shared" si="1"/>
        <v>0</v>
      </c>
    </row>
    <row r="97" spans="2:8" x14ac:dyDescent="0.3">
      <c r="B97" s="130"/>
      <c r="C97" s="148" t="s">
        <v>94</v>
      </c>
      <c r="D97" s="26" t="s">
        <v>1</v>
      </c>
      <c r="E97" s="148"/>
      <c r="F97" s="154">
        <v>350</v>
      </c>
      <c r="G97" s="129"/>
      <c r="H97" s="164">
        <f t="shared" ref="H97:H98" si="2">F97*E96</f>
        <v>0</v>
      </c>
    </row>
    <row r="98" spans="2:8" x14ac:dyDescent="0.3">
      <c r="B98" s="130"/>
      <c r="C98" s="148" t="s">
        <v>68</v>
      </c>
      <c r="D98" s="26" t="s">
        <v>1</v>
      </c>
      <c r="E98" s="148"/>
      <c r="F98" s="154">
        <v>180</v>
      </c>
      <c r="G98" s="129"/>
      <c r="H98" s="164">
        <f t="shared" si="2"/>
        <v>0</v>
      </c>
    </row>
    <row r="99" spans="2:8" x14ac:dyDescent="0.3">
      <c r="B99" s="130"/>
      <c r="C99" s="148" t="s">
        <v>119</v>
      </c>
      <c r="D99" s="26" t="s">
        <v>1</v>
      </c>
      <c r="E99" s="148">
        <v>1</v>
      </c>
      <c r="F99" s="154">
        <v>4450</v>
      </c>
      <c r="G99" s="129"/>
      <c r="H99" s="164">
        <f>F99*E99</f>
        <v>4450</v>
      </c>
    </row>
    <row r="100" spans="2:8" x14ac:dyDescent="0.3">
      <c r="B100" s="130"/>
      <c r="C100" s="148" t="s">
        <v>120</v>
      </c>
      <c r="D100" s="26" t="s">
        <v>1</v>
      </c>
      <c r="E100" s="148">
        <v>1</v>
      </c>
      <c r="F100" s="154">
        <v>350</v>
      </c>
      <c r="G100" s="129"/>
      <c r="H100" s="164">
        <f>F99*E99</f>
        <v>4450</v>
      </c>
    </row>
    <row r="101" spans="2:8" x14ac:dyDescent="0.3">
      <c r="B101" s="130"/>
      <c r="C101" s="148" t="s">
        <v>121</v>
      </c>
      <c r="D101" s="26" t="s">
        <v>1</v>
      </c>
      <c r="E101" s="148">
        <v>4</v>
      </c>
      <c r="F101" s="154">
        <v>450</v>
      </c>
      <c r="G101" s="129"/>
      <c r="H101" s="164">
        <f>F101*E101</f>
        <v>1800</v>
      </c>
    </row>
    <row r="102" spans="2:8" x14ac:dyDescent="0.3">
      <c r="B102" s="130"/>
      <c r="C102" s="148" t="s">
        <v>122</v>
      </c>
      <c r="D102" s="26" t="s">
        <v>1</v>
      </c>
      <c r="E102" s="148">
        <v>2</v>
      </c>
      <c r="F102" s="154">
        <v>750</v>
      </c>
      <c r="G102" s="129"/>
      <c r="H102" s="164">
        <f>F102*E102</f>
        <v>1500</v>
      </c>
    </row>
    <row r="103" spans="2:8" x14ac:dyDescent="0.3">
      <c r="B103" s="130"/>
      <c r="C103" s="148" t="s">
        <v>123</v>
      </c>
      <c r="D103" s="26" t="s">
        <v>1</v>
      </c>
      <c r="E103" s="148"/>
      <c r="F103" s="154">
        <v>150</v>
      </c>
      <c r="G103" s="129"/>
      <c r="H103" s="164">
        <f>F103*E102</f>
        <v>300</v>
      </c>
    </row>
    <row r="104" spans="2:8" x14ac:dyDescent="0.3">
      <c r="B104" s="130"/>
      <c r="C104" s="148" t="s">
        <v>124</v>
      </c>
      <c r="D104" s="26" t="s">
        <v>1</v>
      </c>
      <c r="E104" s="148">
        <v>2</v>
      </c>
      <c r="F104" s="154">
        <v>640</v>
      </c>
      <c r="G104" s="129"/>
      <c r="H104" s="164">
        <f>F104*E104</f>
        <v>1280</v>
      </c>
    </row>
    <row r="105" spans="2:8" x14ac:dyDescent="0.3">
      <c r="B105" s="130"/>
      <c r="C105" s="148" t="s">
        <v>125</v>
      </c>
      <c r="D105" s="26" t="s">
        <v>1</v>
      </c>
      <c r="E105" s="148">
        <v>5</v>
      </c>
      <c r="F105" s="154">
        <v>1600</v>
      </c>
      <c r="G105" s="129"/>
      <c r="H105" s="164">
        <f>F105*E105</f>
        <v>8000</v>
      </c>
    </row>
    <row r="106" spans="2:8" x14ac:dyDescent="0.3">
      <c r="B106" s="130"/>
      <c r="C106" s="148" t="s">
        <v>126</v>
      </c>
      <c r="D106" s="26" t="s">
        <v>1</v>
      </c>
      <c r="E106" s="148">
        <v>3</v>
      </c>
      <c r="F106" s="154">
        <v>510</v>
      </c>
      <c r="G106" s="129"/>
      <c r="H106" s="164">
        <f>F106*E106</f>
        <v>1530</v>
      </c>
    </row>
    <row r="107" spans="2:8" x14ac:dyDescent="0.3">
      <c r="B107" s="130"/>
      <c r="C107" s="148" t="s">
        <v>127</v>
      </c>
      <c r="D107" s="26" t="s">
        <v>78</v>
      </c>
      <c r="E107" s="148"/>
      <c r="F107" s="154">
        <v>300</v>
      </c>
      <c r="G107" s="129"/>
      <c r="H107" s="164">
        <f>F107*E107</f>
        <v>0</v>
      </c>
    </row>
    <row r="108" spans="2:8" x14ac:dyDescent="0.3">
      <c r="B108" s="130"/>
      <c r="C108" s="148" t="s">
        <v>128</v>
      </c>
      <c r="D108" s="26" t="s">
        <v>78</v>
      </c>
      <c r="E108" s="148">
        <v>1</v>
      </c>
      <c r="F108" s="154">
        <v>900</v>
      </c>
      <c r="G108" s="129"/>
      <c r="H108" s="164">
        <f>F108</f>
        <v>900</v>
      </c>
    </row>
    <row r="109" spans="2:8" ht="14.5" thickBot="1" x14ac:dyDescent="0.35">
      <c r="B109" s="130"/>
      <c r="C109" s="148" t="s">
        <v>129</v>
      </c>
      <c r="D109" s="26" t="s">
        <v>43</v>
      </c>
      <c r="E109" s="155">
        <v>1</v>
      </c>
      <c r="F109" s="154">
        <v>450</v>
      </c>
      <c r="G109" s="129"/>
      <c r="H109" s="164">
        <f>F109*E108</f>
        <v>450</v>
      </c>
    </row>
    <row r="110" spans="2:8" ht="14.5" thickBot="1" x14ac:dyDescent="0.35">
      <c r="B110" s="28"/>
      <c r="C110" s="187" t="s">
        <v>37</v>
      </c>
      <c r="D110" s="188"/>
      <c r="E110" s="188"/>
      <c r="F110" s="188"/>
      <c r="G110" s="189"/>
      <c r="H110" s="42">
        <f>SUM(H85:H109)</f>
        <v>79380</v>
      </c>
    </row>
    <row r="113" spans="2:8" ht="14.5" thickBot="1" x14ac:dyDescent="0.35"/>
    <row r="114" spans="2:8" ht="14.5" thickBot="1" x14ac:dyDescent="0.35">
      <c r="B114" s="46" t="s">
        <v>17</v>
      </c>
      <c r="C114" s="166" t="s">
        <v>18</v>
      </c>
      <c r="D114" s="167"/>
      <c r="E114" s="167"/>
      <c r="F114" s="167"/>
      <c r="G114" s="167"/>
      <c r="H114" s="168"/>
    </row>
    <row r="115" spans="2:8" ht="14.5" thickBot="1" x14ac:dyDescent="0.35">
      <c r="B115" s="13" t="s">
        <v>19</v>
      </c>
      <c r="C115" s="30" t="s">
        <v>18</v>
      </c>
      <c r="D115" s="43" t="s">
        <v>1</v>
      </c>
      <c r="E115" s="44" t="s">
        <v>2</v>
      </c>
      <c r="F115" s="45" t="s">
        <v>3</v>
      </c>
      <c r="G115" s="83" t="s">
        <v>4</v>
      </c>
      <c r="H115" s="99" t="s">
        <v>5</v>
      </c>
    </row>
    <row r="116" spans="2:8" ht="14.5" thickBot="1" x14ac:dyDescent="0.35">
      <c r="B116" s="132"/>
      <c r="C116" s="71"/>
      <c r="D116" s="62"/>
      <c r="E116" s="44"/>
      <c r="F116" s="133"/>
      <c r="G116" s="134"/>
      <c r="H116" s="134"/>
    </row>
    <row r="117" spans="2:8" ht="84" customHeight="1" thickBot="1" x14ac:dyDescent="0.4">
      <c r="B117" s="4"/>
      <c r="C117" s="105" t="s">
        <v>138</v>
      </c>
      <c r="D117" s="105" t="s">
        <v>7</v>
      </c>
      <c r="E117" s="106">
        <v>12</v>
      </c>
      <c r="F117" s="61">
        <v>580</v>
      </c>
      <c r="G117" s="65"/>
      <c r="H117" s="47">
        <f>F117*E117</f>
        <v>6960</v>
      </c>
    </row>
    <row r="118" spans="2:8" ht="84" customHeight="1" thickBot="1" x14ac:dyDescent="0.4">
      <c r="B118" s="4"/>
      <c r="C118" s="105" t="s">
        <v>130</v>
      </c>
      <c r="D118" s="105" t="s">
        <v>44</v>
      </c>
      <c r="E118" s="106"/>
      <c r="F118" s="61"/>
      <c r="G118" s="65"/>
      <c r="H118" s="47"/>
    </row>
    <row r="119" spans="2:8" ht="84" customHeight="1" thickBot="1" x14ac:dyDescent="0.4">
      <c r="B119" s="4"/>
      <c r="C119" s="105" t="s">
        <v>131</v>
      </c>
      <c r="D119" s="105" t="s">
        <v>7</v>
      </c>
      <c r="E119" s="106">
        <v>15</v>
      </c>
      <c r="F119" s="61">
        <v>580</v>
      </c>
      <c r="G119" s="65" t="s">
        <v>132</v>
      </c>
      <c r="H119" s="47">
        <f>F119*E119</f>
        <v>8700</v>
      </c>
    </row>
    <row r="120" spans="2:8" ht="84" customHeight="1" thickBot="1" x14ac:dyDescent="0.4">
      <c r="B120" s="4"/>
      <c r="C120" s="105" t="s">
        <v>57</v>
      </c>
      <c r="D120" s="105" t="s">
        <v>1</v>
      </c>
      <c r="E120" s="106"/>
      <c r="F120" s="61">
        <v>200</v>
      </c>
      <c r="G120" s="65" t="s">
        <v>79</v>
      </c>
      <c r="H120" s="47">
        <f>F120*E120</f>
        <v>0</v>
      </c>
    </row>
    <row r="121" spans="2:8" ht="126.65" customHeight="1" thickBot="1" x14ac:dyDescent="0.4">
      <c r="B121" s="4"/>
      <c r="C121" s="105" t="s">
        <v>136</v>
      </c>
      <c r="D121" s="105" t="s">
        <v>7</v>
      </c>
      <c r="E121" s="106">
        <v>25</v>
      </c>
      <c r="F121" s="61">
        <v>580</v>
      </c>
      <c r="G121" s="65"/>
      <c r="H121" s="47">
        <f>F121*E121</f>
        <v>14500</v>
      </c>
    </row>
    <row r="122" spans="2:8" ht="14.5" thickBot="1" x14ac:dyDescent="0.35">
      <c r="B122" s="28"/>
      <c r="C122" s="169" t="s">
        <v>20</v>
      </c>
      <c r="D122" s="170"/>
      <c r="E122" s="170"/>
      <c r="F122" s="170"/>
      <c r="G122" s="171"/>
      <c r="H122" s="42">
        <f>SUM(H117:H121)</f>
        <v>30160</v>
      </c>
    </row>
    <row r="123" spans="2:8" x14ac:dyDescent="0.3">
      <c r="H123" s="100"/>
    </row>
    <row r="127" spans="2:8" ht="14.5" thickBot="1" x14ac:dyDescent="0.35"/>
    <row r="128" spans="2:8" ht="14.5" thickBot="1" x14ac:dyDescent="0.35">
      <c r="B128" s="12" t="s">
        <v>21</v>
      </c>
      <c r="C128" s="166" t="s">
        <v>58</v>
      </c>
      <c r="D128" s="174"/>
      <c r="E128" s="174"/>
      <c r="F128" s="174"/>
      <c r="G128" s="174"/>
      <c r="H128" s="175"/>
    </row>
    <row r="129" spans="2:8" ht="14.5" thickBot="1" x14ac:dyDescent="0.35">
      <c r="B129" s="48" t="s">
        <v>22</v>
      </c>
      <c r="C129" s="30" t="s">
        <v>59</v>
      </c>
      <c r="D129" s="43" t="s">
        <v>1</v>
      </c>
      <c r="E129" s="44" t="s">
        <v>2</v>
      </c>
      <c r="F129" s="45" t="s">
        <v>3</v>
      </c>
      <c r="G129" s="83" t="s">
        <v>4</v>
      </c>
      <c r="H129" s="83" t="s">
        <v>5</v>
      </c>
    </row>
    <row r="130" spans="2:8" ht="14.5" thickBot="1" x14ac:dyDescent="0.35">
      <c r="B130" s="59"/>
      <c r="C130" s="30"/>
      <c r="D130" s="62"/>
      <c r="E130" s="44"/>
      <c r="F130" s="45"/>
      <c r="G130" s="90"/>
      <c r="H130" s="83"/>
    </row>
    <row r="131" spans="2:8" ht="38" thickBot="1" x14ac:dyDescent="0.35">
      <c r="B131" s="4"/>
      <c r="C131" s="35" t="s">
        <v>60</v>
      </c>
      <c r="D131" s="36" t="s">
        <v>43</v>
      </c>
      <c r="E131" s="37"/>
      <c r="F131" s="38"/>
      <c r="G131" s="119"/>
      <c r="H131" s="120"/>
    </row>
    <row r="132" spans="2:8" ht="14.5" thickBot="1" x14ac:dyDescent="0.35">
      <c r="B132" s="4"/>
      <c r="C132" s="121" t="s">
        <v>61</v>
      </c>
      <c r="D132" s="122"/>
      <c r="E132" s="20"/>
      <c r="F132" s="61"/>
      <c r="G132" s="91"/>
      <c r="H132" s="22"/>
    </row>
    <row r="133" spans="2:8" ht="25.5" thickBot="1" x14ac:dyDescent="0.35">
      <c r="B133" s="4"/>
      <c r="C133" s="123" t="s">
        <v>62</v>
      </c>
      <c r="D133" s="122"/>
      <c r="E133" s="20"/>
      <c r="F133" s="61"/>
      <c r="G133" s="91"/>
      <c r="H133" s="22"/>
    </row>
    <row r="134" spans="2:8" ht="50.5" thickBot="1" x14ac:dyDescent="0.35">
      <c r="B134" s="4"/>
      <c r="C134" s="121" t="s">
        <v>63</v>
      </c>
      <c r="D134" s="122"/>
      <c r="E134" s="20"/>
      <c r="F134" s="61"/>
      <c r="G134" s="91"/>
      <c r="H134" s="22"/>
    </row>
    <row r="135" spans="2:8" ht="25.5" thickBot="1" x14ac:dyDescent="0.35">
      <c r="B135" s="4"/>
      <c r="C135" s="121" t="s">
        <v>64</v>
      </c>
      <c r="D135" s="122"/>
      <c r="E135" s="20"/>
      <c r="F135" s="61"/>
      <c r="G135" s="91"/>
      <c r="H135" s="22"/>
    </row>
    <row r="136" spans="2:8" ht="14.5" thickBot="1" x14ac:dyDescent="0.35">
      <c r="B136" s="4"/>
      <c r="C136" s="124" t="s">
        <v>65</v>
      </c>
      <c r="D136" s="39" t="s">
        <v>43</v>
      </c>
      <c r="E136" s="11">
        <v>1</v>
      </c>
      <c r="F136" s="111"/>
      <c r="G136" s="125"/>
      <c r="H136" s="25"/>
    </row>
    <row r="137" spans="2:8" ht="14.5" thickBot="1" x14ac:dyDescent="0.35">
      <c r="B137" s="4"/>
      <c r="C137" s="126" t="s">
        <v>66</v>
      </c>
      <c r="D137" s="9" t="s">
        <v>43</v>
      </c>
      <c r="E137" s="9">
        <v>1</v>
      </c>
      <c r="F137" s="10"/>
      <c r="G137" s="127"/>
      <c r="H137" s="128"/>
    </row>
    <row r="138" spans="2:8" ht="14.5" thickBot="1" x14ac:dyDescent="0.35">
      <c r="B138" s="28"/>
      <c r="C138" s="169" t="s">
        <v>23</v>
      </c>
      <c r="D138" s="170"/>
      <c r="E138" s="170"/>
      <c r="F138" s="170"/>
      <c r="G138" s="171"/>
      <c r="H138" s="42">
        <v>35000</v>
      </c>
    </row>
    <row r="139" spans="2:8" x14ac:dyDescent="0.3">
      <c r="B139" s="7"/>
      <c r="C139" s="63"/>
      <c r="D139" s="63"/>
      <c r="E139" s="63"/>
      <c r="F139" s="63"/>
      <c r="G139" s="92"/>
      <c r="H139" s="92"/>
    </row>
    <row r="145" spans="2:8" ht="14.5" thickBot="1" x14ac:dyDescent="0.35">
      <c r="H145" s="156"/>
    </row>
    <row r="146" spans="2:8" ht="14.5" thickBot="1" x14ac:dyDescent="0.35">
      <c r="B146" s="135"/>
      <c r="C146" s="167" t="s">
        <v>70</v>
      </c>
      <c r="D146" s="172"/>
      <c r="E146" s="172"/>
      <c r="F146" s="172"/>
      <c r="G146" s="172"/>
      <c r="H146" s="173"/>
    </row>
    <row r="147" spans="2:8" ht="14.5" thickBot="1" x14ac:dyDescent="0.35">
      <c r="B147" s="136"/>
      <c r="C147" s="30" t="s">
        <v>70</v>
      </c>
      <c r="D147" s="43" t="s">
        <v>1</v>
      </c>
      <c r="E147" s="44" t="s">
        <v>2</v>
      </c>
      <c r="F147" s="45" t="s">
        <v>3</v>
      </c>
      <c r="G147" s="137" t="s">
        <v>4</v>
      </c>
      <c r="H147" s="138" t="s">
        <v>5</v>
      </c>
    </row>
    <row r="148" spans="2:8" ht="25" x14ac:dyDescent="0.3">
      <c r="B148" s="34"/>
      <c r="C148" s="35" t="s">
        <v>71</v>
      </c>
      <c r="D148" s="36" t="s">
        <v>7</v>
      </c>
      <c r="E148" s="37"/>
      <c r="F148" s="38"/>
      <c r="G148" s="157" t="s">
        <v>135</v>
      </c>
      <c r="H148" s="47">
        <f>F148*E148</f>
        <v>0</v>
      </c>
    </row>
    <row r="149" spans="2:8" ht="14.5" thickBot="1" x14ac:dyDescent="0.35">
      <c r="B149" s="34"/>
      <c r="C149" s="110" t="s">
        <v>72</v>
      </c>
      <c r="D149" s="39" t="s">
        <v>7</v>
      </c>
      <c r="E149" s="11"/>
      <c r="F149" s="24"/>
      <c r="G149" s="139"/>
      <c r="H149" s="47">
        <f t="shared" ref="H149" si="3">F149*E149</f>
        <v>0</v>
      </c>
    </row>
    <row r="150" spans="2:8" ht="14.5" thickBot="1" x14ac:dyDescent="0.35">
      <c r="B150" s="4"/>
      <c r="C150" s="169" t="s">
        <v>73</v>
      </c>
      <c r="D150" s="170"/>
      <c r="E150" s="170"/>
      <c r="F150" s="170"/>
      <c r="G150" s="171"/>
      <c r="H150" s="42">
        <v>12000</v>
      </c>
    </row>
    <row r="155" spans="2:8" ht="14.5" thickBot="1" x14ac:dyDescent="0.35"/>
    <row r="156" spans="2:8" ht="14.5" thickBot="1" x14ac:dyDescent="0.35">
      <c r="B156" s="12" t="s">
        <v>26</v>
      </c>
      <c r="C156" s="166" t="s">
        <v>24</v>
      </c>
      <c r="D156" s="167"/>
      <c r="E156" s="167"/>
      <c r="F156" s="167"/>
      <c r="G156" s="167"/>
      <c r="H156" s="168"/>
    </row>
    <row r="157" spans="2:8" ht="14.5" thickBot="1" x14ac:dyDescent="0.35">
      <c r="B157" s="13" t="s">
        <v>27</v>
      </c>
      <c r="C157" s="30" t="s">
        <v>24</v>
      </c>
      <c r="D157" s="43" t="s">
        <v>1</v>
      </c>
      <c r="E157" s="44" t="s">
        <v>2</v>
      </c>
      <c r="F157" s="49" t="s">
        <v>3</v>
      </c>
      <c r="G157" s="90"/>
      <c r="H157" s="85" t="s">
        <v>5</v>
      </c>
    </row>
    <row r="158" spans="2:8" x14ac:dyDescent="0.3">
      <c r="B158" s="70"/>
      <c r="C158" s="71" t="s">
        <v>36</v>
      </c>
      <c r="D158" s="67" t="s">
        <v>1</v>
      </c>
      <c r="E158" s="68">
        <v>3</v>
      </c>
      <c r="F158" s="69">
        <v>1600</v>
      </c>
      <c r="G158" s="82"/>
      <c r="H158" s="101">
        <f>F158*E158</f>
        <v>4800</v>
      </c>
    </row>
    <row r="159" spans="2:8" x14ac:dyDescent="0.3">
      <c r="B159" s="70"/>
      <c r="C159" s="71"/>
      <c r="D159" s="67"/>
      <c r="E159" s="68"/>
      <c r="F159" s="69"/>
      <c r="G159" s="82"/>
      <c r="H159" s="101"/>
    </row>
    <row r="160" spans="2:8" ht="174" customHeight="1" thickBot="1" x14ac:dyDescent="0.35">
      <c r="B160" s="50"/>
      <c r="C160" s="51" t="s">
        <v>67</v>
      </c>
      <c r="D160" s="27" t="s">
        <v>38</v>
      </c>
      <c r="E160" s="26">
        <v>3</v>
      </c>
      <c r="F160" s="52">
        <v>8000</v>
      </c>
      <c r="G160" s="93"/>
      <c r="H160" s="53">
        <f>F160*E160</f>
        <v>24000</v>
      </c>
    </row>
    <row r="161" spans="2:8" ht="14.5" thickBot="1" x14ac:dyDescent="0.35">
      <c r="B161" s="54"/>
      <c r="C161" s="55"/>
      <c r="D161" s="56"/>
      <c r="E161" s="56"/>
      <c r="F161" s="57"/>
      <c r="G161" s="94" t="s">
        <v>25</v>
      </c>
      <c r="H161" s="58">
        <f>SUM(H158:H160)</f>
        <v>28800</v>
      </c>
    </row>
    <row r="165" spans="2:8" x14ac:dyDescent="0.3">
      <c r="G165" s="100"/>
      <c r="H165" s="100"/>
    </row>
    <row r="167" spans="2:8" x14ac:dyDescent="0.3">
      <c r="C167" s="64"/>
      <c r="G167" s="95" t="s">
        <v>28</v>
      </c>
      <c r="H167" s="102">
        <f>H161+H150+H138+H122+H110+H70+H46+H25</f>
        <v>323012</v>
      </c>
    </row>
    <row r="168" spans="2:8" x14ac:dyDescent="0.3">
      <c r="C168" s="64"/>
      <c r="G168" s="95" t="s">
        <v>137</v>
      </c>
      <c r="H168" s="102">
        <f>H167*(91%)</f>
        <v>293940.92</v>
      </c>
    </row>
    <row r="169" spans="2:8" x14ac:dyDescent="0.3">
      <c r="G169" s="95" t="s">
        <v>29</v>
      </c>
      <c r="H169" s="103">
        <f>H168*18%</f>
        <v>52909.365599999997</v>
      </c>
    </row>
    <row r="170" spans="2:8" x14ac:dyDescent="0.3">
      <c r="G170" s="95" t="s">
        <v>30</v>
      </c>
      <c r="H170" s="103">
        <f>H168+H169</f>
        <v>346850.2856</v>
      </c>
    </row>
    <row r="171" spans="2:8" x14ac:dyDescent="0.3">
      <c r="G171" s="95"/>
      <c r="H171" s="95"/>
    </row>
    <row r="173" spans="2:8" x14ac:dyDescent="0.3">
      <c r="H173" s="165"/>
    </row>
  </sheetData>
  <mergeCells count="18">
    <mergeCell ref="F4:H4"/>
    <mergeCell ref="B6:G6"/>
    <mergeCell ref="B7:G7"/>
    <mergeCell ref="B5:G5"/>
    <mergeCell ref="C110:G110"/>
    <mergeCell ref="C14:H14"/>
    <mergeCell ref="C25:G25"/>
    <mergeCell ref="C70:G70"/>
    <mergeCell ref="C156:H156"/>
    <mergeCell ref="C31:H31"/>
    <mergeCell ref="C46:G46"/>
    <mergeCell ref="C54:H54"/>
    <mergeCell ref="C114:H114"/>
    <mergeCell ref="C122:G122"/>
    <mergeCell ref="C128:H128"/>
    <mergeCell ref="C138:G138"/>
    <mergeCell ref="C146:H146"/>
    <mergeCell ref="C150:G150"/>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Make-Over</dc:creator>
  <cp:lastModifiedBy>Tal Menashe</cp:lastModifiedBy>
  <dcterms:created xsi:type="dcterms:W3CDTF">2025-03-25T11:25:12Z</dcterms:created>
  <dcterms:modified xsi:type="dcterms:W3CDTF">2026-08-13T18:01:23Z</dcterms:modified>
</cp:coreProperties>
</file>